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Gastos Previstos" sheetId="2" r:id="rId6"/>
    <sheet state="visible" name="Vendas" sheetId="3" r:id="rId7"/>
    <sheet state="visible" name="Gastos Realizados" sheetId="4" r:id="rId8"/>
    <sheet state="visible" name="Fluxo de Caixa" sheetId="5" r:id="rId9"/>
    <sheet state="visible" name="Previsão de Receita" sheetId="6" r:id="rId10"/>
    <sheet state="visible" name="Parâmetros" sheetId="7" r:id="rId11"/>
  </sheets>
  <definedNames/>
  <calcPr/>
</workbook>
</file>

<file path=xl/sharedStrings.xml><?xml version="1.0" encoding="utf-8"?>
<sst xmlns="http://schemas.openxmlformats.org/spreadsheetml/2006/main" count="413" uniqueCount="234">
  <si>
    <t xml:space="preserve">GASTOS PREVISTOS </t>
  </si>
  <si>
    <t xml:space="preserve">GASTOS REALIZADOS - CONTROLE DE PAGAMENTO </t>
  </si>
  <si>
    <t>VENDAS E RECEBIMENTOS</t>
  </si>
  <si>
    <t>Descrição</t>
  </si>
  <si>
    <t>Categoria</t>
  </si>
  <si>
    <t>Total (R$)</t>
  </si>
  <si>
    <t>EJ Responsável</t>
  </si>
  <si>
    <t>Jul</t>
  </si>
  <si>
    <t>Status</t>
  </si>
  <si>
    <t>Empresa</t>
  </si>
  <si>
    <t>Ago</t>
  </si>
  <si>
    <t>Marg.Seg.</t>
  </si>
  <si>
    <t>Pacote</t>
  </si>
  <si>
    <t>Valor Previsto</t>
  </si>
  <si>
    <t>Set</t>
  </si>
  <si>
    <t>Out</t>
  </si>
  <si>
    <t>Nº Parc.</t>
  </si>
  <si>
    <t>Preço Tabela</t>
  </si>
  <si>
    <t>Nov</t>
  </si>
  <si>
    <t>Pago PJ (R$)</t>
  </si>
  <si>
    <t>Dez</t>
  </si>
  <si>
    <t>% PJ</t>
  </si>
  <si>
    <t>Data Fech.</t>
  </si>
  <si>
    <t>Pago EESC (R$)</t>
  </si>
  <si>
    <t>Valor Contratado</t>
  </si>
  <si>
    <t>% EESC</t>
  </si>
  <si>
    <t>Custo Estande</t>
  </si>
  <si>
    <t>Total Pago</t>
  </si>
  <si>
    <t>Margem</t>
  </si>
  <si>
    <t>% Pago</t>
  </si>
  <si>
    <t>P1 Data</t>
  </si>
  <si>
    <t>OK?</t>
  </si>
  <si>
    <t>GASTOS FIXOS DTRIP (LGDM)</t>
  </si>
  <si>
    <t>P1 Valor</t>
  </si>
  <si>
    <t>Observação</t>
  </si>
  <si>
    <t>P2 Data</t>
  </si>
  <si>
    <t>P2 Valor</t>
  </si>
  <si>
    <t>P3 Data</t>
  </si>
  <si>
    <t>P3 Valor</t>
  </si>
  <si>
    <t>Soma Parc.</t>
  </si>
  <si>
    <t>Fixo Dtrip</t>
  </si>
  <si>
    <t>Gestão da Feira (contrato LGDM)</t>
  </si>
  <si>
    <t xml:space="preserve">   Gestão da Feira (contrato LGDM)</t>
  </si>
  <si>
    <t>Contratado</t>
  </si>
  <si>
    <t>Não</t>
  </si>
  <si>
    <t>Produção Jr</t>
  </si>
  <si>
    <t>Tractian</t>
  </si>
  <si>
    <t>Ouro</t>
  </si>
  <si>
    <t xml:space="preserve">   Lounge Expo 1, 2, 3 e 4 </t>
  </si>
  <si>
    <t xml:space="preserve">   Backdrop de fotos</t>
  </si>
  <si>
    <t xml:space="preserve">   Roda de conversa</t>
  </si>
  <si>
    <t xml:space="preserve">   Impostos</t>
  </si>
  <si>
    <t>FECHAMENTO AMBIENTES - CORREDOR</t>
  </si>
  <si>
    <t>TOTENS DE SINALIZAÇÃO COM TV</t>
  </si>
  <si>
    <t>ÁREA COOFFE</t>
  </si>
  <si>
    <t>FECHAMENTO AMBIENTES - ESCADA/COOFEE</t>
  </si>
  <si>
    <t>TOTEM DE SINALIZAÇÃO MDF</t>
  </si>
  <si>
    <t>Fechado</t>
  </si>
  <si>
    <t>Lounge Expo</t>
  </si>
  <si>
    <t>ATIVAÇÃO - CARRINHO DE PIPOCA COM OPERADOR</t>
  </si>
  <si>
    <t>Estimado</t>
  </si>
  <si>
    <t>AUDITÓRIO LUIS GASTÃO - COMUNICAÇÃO VISUAL PALESTRAS</t>
  </si>
  <si>
    <t>ATIVAÇÃO - BACKDROP DE ASSINATURA (L)2,30m X (A)2,30m</t>
  </si>
  <si>
    <t>BACKDROP DE ENTRADA - (L)4,30m X (A)2,80m</t>
  </si>
  <si>
    <t>Logistica, Frete, Montagem</t>
  </si>
  <si>
    <t>Pórtico de entrada</t>
  </si>
  <si>
    <t xml:space="preserve">   Credenciamento</t>
  </si>
  <si>
    <t>TOTAL FIXOS DTRIP</t>
  </si>
  <si>
    <t>Backdrop de fotos</t>
  </si>
  <si>
    <t>Roda de conversa</t>
  </si>
  <si>
    <t>GASTOS VARIÁVEIS DTRIP (estandes)</t>
  </si>
  <si>
    <t>Impostos</t>
  </si>
  <si>
    <t xml:space="preserve">   Executivo (4 cotas × R$ 1.500)</t>
  </si>
  <si>
    <t>Credenciamento</t>
  </si>
  <si>
    <t>Outros</t>
  </si>
  <si>
    <t>Marketing</t>
  </si>
  <si>
    <t>Sim</t>
  </si>
  <si>
    <t xml:space="preserve">   Bronze (13 cotas × R$ 2.950)</t>
  </si>
  <si>
    <t>Itaú</t>
  </si>
  <si>
    <t xml:space="preserve">   Prata (6 cotas × R$ 3.950)</t>
  </si>
  <si>
    <t>EJUDI</t>
  </si>
  <si>
    <t xml:space="preserve">   Ouro (2 cotas × R$ 5.925)</t>
  </si>
  <si>
    <t xml:space="preserve">   Patrocínio (0 cotas × R$ 0)</t>
  </si>
  <si>
    <t>TOTAL VARIÁVEIS DTRIP</t>
  </si>
  <si>
    <t>OUTROS GASTOS</t>
  </si>
  <si>
    <t xml:space="preserve">   Marketing</t>
  </si>
  <si>
    <t xml:space="preserve">   EJUDI (6x)</t>
  </si>
  <si>
    <t>Artefact</t>
  </si>
  <si>
    <t xml:space="preserve">   Camisetas</t>
  </si>
  <si>
    <t>Prata</t>
  </si>
  <si>
    <t xml:space="preserve">   Ambulância</t>
  </si>
  <si>
    <t xml:space="preserve">   Transporte USP Pirassununga &lt;&gt; UFSCar</t>
  </si>
  <si>
    <t xml:space="preserve">  Ventiladores</t>
  </si>
  <si>
    <t xml:space="preserve">Sorteios </t>
  </si>
  <si>
    <t xml:space="preserve">   Crachás</t>
  </si>
  <si>
    <t>Segurança</t>
  </si>
  <si>
    <t>Limpeza</t>
  </si>
  <si>
    <t>Luz</t>
  </si>
  <si>
    <t>Bronze</t>
  </si>
  <si>
    <t xml:space="preserve">   Cartazes</t>
  </si>
  <si>
    <t xml:space="preserve">   Banners</t>
  </si>
  <si>
    <t xml:space="preserve"> Bolsas Brindes </t>
  </si>
  <si>
    <t>Internet</t>
  </si>
  <si>
    <t>Fotógrafos</t>
  </si>
  <si>
    <t xml:space="preserve">   Coffee</t>
  </si>
  <si>
    <t xml:space="preserve">   Gasto Geral (buffer)</t>
  </si>
  <si>
    <t>TOTAL OUTROS GASTOS</t>
  </si>
  <si>
    <t>Elogroup</t>
  </si>
  <si>
    <t>TOTAL PREVISTO DO EVENTO</t>
  </si>
  <si>
    <t>EESC Jr</t>
  </si>
  <si>
    <t>PECEGE</t>
  </si>
  <si>
    <t>MINERVA</t>
  </si>
  <si>
    <t>Camisetas</t>
  </si>
  <si>
    <t>Mastercard</t>
  </si>
  <si>
    <t>Ambulância</t>
  </si>
  <si>
    <t>Transporte USP &lt;&gt; UFSCar</t>
  </si>
  <si>
    <t>Monks</t>
  </si>
  <si>
    <t>Etiquetas</t>
  </si>
  <si>
    <t>Crachás</t>
  </si>
  <si>
    <t>Bolsas - Brindes</t>
  </si>
  <si>
    <t>Kis Solutions</t>
  </si>
  <si>
    <t>OK</t>
  </si>
  <si>
    <t>Fotográfos</t>
  </si>
  <si>
    <t>Cartazes</t>
  </si>
  <si>
    <t>WildLife</t>
  </si>
  <si>
    <t>Banners</t>
  </si>
  <si>
    <t>Smart Dent</t>
  </si>
  <si>
    <t>Coffee</t>
  </si>
  <si>
    <t>Gasto Geral (buffer)</t>
  </si>
  <si>
    <t>Unilever</t>
  </si>
  <si>
    <t>Sorteios</t>
  </si>
  <si>
    <t xml:space="preserve">Credenciais </t>
  </si>
  <si>
    <t>Symrise</t>
  </si>
  <si>
    <t>Bain</t>
  </si>
  <si>
    <t>DASHBOARD -  FINANCEIRO DA FEIRA DE MERCADO</t>
  </si>
  <si>
    <t>TOTAL PAGO</t>
  </si>
  <si>
    <t>Faturamento Fechado</t>
  </si>
  <si>
    <t>Gasto Total Previsto</t>
  </si>
  <si>
    <t>Resultado Hoje</t>
  </si>
  <si>
    <t>Cotas Vendidas / Total</t>
  </si>
  <si>
    <t xml:space="preserve">Alupar </t>
  </si>
  <si>
    <t>% do Equilíbrio Atingido</t>
  </si>
  <si>
    <t>Já Pago (Realizado)</t>
  </si>
  <si>
    <t>Caixa no Pior Mês</t>
  </si>
  <si>
    <t>Faturamento Máx (tabela)</t>
  </si>
  <si>
    <t>Jacto</t>
  </si>
  <si>
    <t>Andritz</t>
  </si>
  <si>
    <t>Qi Tech</t>
  </si>
  <si>
    <t>Husqvarna</t>
  </si>
  <si>
    <t>Astra</t>
  </si>
  <si>
    <t>Control ID</t>
  </si>
  <si>
    <t>Executivo</t>
  </si>
  <si>
    <t>Vendas por Pacote</t>
  </si>
  <si>
    <t>Faturamento por EJ</t>
  </si>
  <si>
    <t>Fechados</t>
  </si>
  <si>
    <t>Faturamento</t>
  </si>
  <si>
    <t>EJ</t>
  </si>
  <si>
    <t>Yara</t>
  </si>
  <si>
    <t>Huawei</t>
  </si>
  <si>
    <t>Alcans</t>
  </si>
  <si>
    <t>Patrocínio</t>
  </si>
  <si>
    <t>Previsto × Realizado</t>
  </si>
  <si>
    <t>Previsto</t>
  </si>
  <si>
    <t>Realizado</t>
  </si>
  <si>
    <t>% Executado</t>
  </si>
  <si>
    <t>FLUXO DE CAIXA MENSAL DO EVENTO</t>
  </si>
  <si>
    <t>Fixos Dtrip</t>
  </si>
  <si>
    <t>Período</t>
  </si>
  <si>
    <t>Total</t>
  </si>
  <si>
    <t>ENTRADAS (recebimentos)</t>
  </si>
  <si>
    <t xml:space="preserve">   Produção Jr</t>
  </si>
  <si>
    <t>Estandes</t>
  </si>
  <si>
    <t>TOTAL FECHADO</t>
  </si>
  <si>
    <t xml:space="preserve">   EESC Jr</t>
  </si>
  <si>
    <t>Total de Entradas</t>
  </si>
  <si>
    <t xml:space="preserve">SAÍDAS (pagamentos previstos) </t>
  </si>
  <si>
    <t xml:space="preserve">   Fixos Dtrip</t>
  </si>
  <si>
    <t xml:space="preserve">   Estandes (variável)</t>
  </si>
  <si>
    <t xml:space="preserve">   Outros gastos</t>
  </si>
  <si>
    <t>Total de Saídas</t>
  </si>
  <si>
    <t>RESULTADO DO MÊS</t>
  </si>
  <si>
    <t>SALDO ACUMULADO</t>
  </si>
  <si>
    <t>Caixa que as EJs precisam ter no pior mês</t>
  </si>
  <si>
    <t>Fica negativo em algum mês?</t>
  </si>
  <si>
    <t>PREVISÃO DE RECEITA - SIMULAÇÃO DE CENÁRIOS</t>
  </si>
  <si>
    <t>STATUS HOJE (só com o que já está fechado)</t>
  </si>
  <si>
    <t>Faturamento fechado (tabela)</t>
  </si>
  <si>
    <t>Gastos fixos (independem da venda)</t>
  </si>
  <si>
    <t>Margem já gerada pelos estandes fechados</t>
  </si>
  <si>
    <t>Resultado hoje (margem fechada − fixos)</t>
  </si>
  <si>
    <t>SIMULAÇÃO — ESTANDES A FECHAR POR CENÁRIO</t>
  </si>
  <si>
    <t>Cotas Totais</t>
  </si>
  <si>
    <t>Já Fechados</t>
  </si>
  <si>
    <t>Disponíveis</t>
  </si>
  <si>
    <t>Pessimista</t>
  </si>
  <si>
    <t>Realista</t>
  </si>
  <si>
    <t>Otimista</t>
  </si>
  <si>
    <t>FEIRA DE MERCADO 2026 -  PARÂMETROS</t>
  </si>
  <si>
    <t>DATAS</t>
  </si>
  <si>
    <t>Data-base (hoje)</t>
  </si>
  <si>
    <t>Evento — 1º dia</t>
  </si>
  <si>
    <t>Evento — 2º dia</t>
  </si>
  <si>
    <t>PREMISSAS</t>
  </si>
  <si>
    <t>Margem de segurança sobre estimativas</t>
  </si>
  <si>
    <t>RESULTADO POR CENÁRIO</t>
  </si>
  <si>
    <t>Saldo inicial do caixa do evento</t>
  </si>
  <si>
    <t>Indicador</t>
  </si>
  <si>
    <t>Já Fechado</t>
  </si>
  <si>
    <t>Faturamento a fechar (adicional)</t>
  </si>
  <si>
    <t>% estandes pago na contratação</t>
  </si>
  <si>
    <t>Estandes — mês 1ª parcela</t>
  </si>
  <si>
    <t>ago/26</t>
  </si>
  <si>
    <t>Estandes — mês 2ª parcela</t>
  </si>
  <si>
    <t>set/26</t>
  </si>
  <si>
    <t>Faturamento TOTAL previsto</t>
  </si>
  <si>
    <t>EMPRESAS JUNIORES</t>
  </si>
  <si>
    <t>EJ 1</t>
  </si>
  <si>
    <t>EJ 2</t>
  </si>
  <si>
    <t>Gastos fixos (não dependem de venda)</t>
  </si>
  <si>
    <t>TABELA DE PACOTES</t>
  </si>
  <si>
    <t>Custo dos estandes (do cenário)</t>
  </si>
  <si>
    <t>Preço Mínimo</t>
  </si>
  <si>
    <t>Cotas</t>
  </si>
  <si>
    <t>Margem Unit.</t>
  </si>
  <si>
    <t>Fat. Máx (tabela)</t>
  </si>
  <si>
    <t>Gasto total do evento</t>
  </si>
  <si>
    <t>RESULTADO (fat − gasto)</t>
  </si>
  <si>
    <t>Dá lucro?</t>
  </si>
  <si>
    <t>TOTAL</t>
  </si>
  <si>
    <t>QUANTOS ESTANDES AINDA FALTAM PARA NÃO TER PREJUÍZO</t>
  </si>
  <si>
    <t>Margem que ainda falta cobrir</t>
  </si>
  <si>
    <t>Traduzido em estandes de um único pacote:</t>
  </si>
  <si>
    <t>Margem Unitária</t>
  </si>
  <si>
    <t>Estandes necessários (se só esse)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</si>
</sst>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R$ &quot;#,##0.00;&quot;R$ -&quot;#,##0.00;\-"/>
    <numFmt numFmtId="165" formatCode="0.0%"/>
    <numFmt numFmtId="166" formatCode="dd/mm/yyyy"/>
    <numFmt numFmtId="167" formatCode="mm/yyyy"/>
    <numFmt numFmtId="168" formatCode="&quot;R$ &quot;#,##0;&quot;R$ -&quot;#,##0;\-"/>
  </numFmts>
  <fonts count="12">
    <font>
      <sz val="11.0"/>
      <color theme="1"/>
      <name val="Calibri"/>
      <scheme val="minor"/>
    </font>
    <font>
      <sz val="11.0"/>
      <color theme="1"/>
      <name val="Calibri"/>
    </font>
    <font>
      <b/>
      <sz val="13.0"/>
      <color rgb="FFFFFFFF"/>
      <name val="Calibri"/>
    </font>
    <font/>
    <font>
      <i/>
      <sz val="8.0"/>
      <color rgb="FF808080"/>
      <name val="Calibri"/>
    </font>
    <font>
      <b/>
      <sz val="10.0"/>
      <color rgb="FFFFFFFF"/>
      <name val="Calibri"/>
    </font>
    <font>
      <sz val="10.0"/>
      <color rgb="FF0000FF"/>
      <name val="Calibri"/>
    </font>
    <font>
      <sz val="10.0"/>
      <color rgb="FF000000"/>
      <name val="Calibri"/>
    </font>
    <font>
      <b/>
      <sz val="10.0"/>
      <color rgb="FF000000"/>
      <name val="Calibri"/>
    </font>
    <font>
      <sz val="9.0"/>
      <color rgb="FF595959"/>
      <name val="Calibri"/>
    </font>
    <font>
      <b/>
      <sz val="20.0"/>
      <color rgb="FF1F3864"/>
      <name val="Calibri"/>
    </font>
    <font>
      <b/>
      <sz val="11.0"/>
      <color rgb="FFC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5496"/>
        <bgColor rgb="FF2E5496"/>
      </patternFill>
    </fill>
    <fill>
      <patternFill patternType="solid">
        <fgColor rgb="FF8497B0"/>
        <bgColor rgb="FF8497B0"/>
      </patternFill>
    </fill>
    <fill>
      <patternFill patternType="solid">
        <fgColor rgb="FFF2F5F9"/>
        <bgColor rgb="FFF2F5F9"/>
      </patternFill>
    </fill>
    <fill>
      <patternFill patternType="solid">
        <fgColor rgb="FFD6DCE4"/>
        <bgColor rgb="FFD6DCE4"/>
      </patternFill>
    </fill>
    <fill>
      <patternFill patternType="solid">
        <fgColor rgb="FFF2F2F2"/>
        <bgColor rgb="FFF2F2F2"/>
      </patternFill>
    </fill>
    <fill>
      <patternFill patternType="solid">
        <fgColor rgb="FFFCE4D6"/>
        <bgColor rgb="FFFCE4D6"/>
      </patternFill>
    </fill>
  </fills>
  <borders count="7">
    <border/>
    <border>
      <left/>
      <top/>
      <bottom/>
    </border>
    <border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top/>
    </border>
    <border>
      <top/>
    </border>
    <border>
      <left/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0" fontId="3" numFmtId="0" xfId="0" applyBorder="1" applyFont="1"/>
    <xf borderId="0" fillId="0" fontId="4" numFmtId="0" xfId="0" applyAlignment="1" applyFont="1">
      <alignment shrinkToFit="0" vertical="bottom" wrapText="0"/>
    </xf>
    <xf borderId="3" fillId="3" fontId="5" numFmtId="0" xfId="0" applyAlignment="1" applyBorder="1" applyFill="1" applyFont="1">
      <alignment horizontal="center" shrinkToFit="0" vertical="center" wrapText="1"/>
    </xf>
    <xf borderId="3" fillId="4" fontId="5" numFmtId="0" xfId="0" applyAlignment="1" applyBorder="1" applyFill="1" applyFont="1">
      <alignment horizontal="left" shrinkToFit="0" vertical="center" wrapText="0"/>
    </xf>
    <xf borderId="3" fillId="4" fontId="1" numFmtId="0" xfId="0" applyAlignment="1" applyBorder="1" applyFill="1" applyFont="1">
      <alignment horizontal="left" shrinkToFit="0" vertical="center" wrapText="0"/>
    </xf>
    <xf borderId="3" fillId="5" fontId="6" numFmtId="0" xfId="0" applyAlignment="1" applyBorder="1" applyFill="1" applyFont="1">
      <alignment shrinkToFit="0" vertical="bottom" wrapText="0"/>
    </xf>
    <xf borderId="3" fillId="0" fontId="7" numFmtId="0" xfId="0" applyAlignment="1" applyBorder="1" applyFont="1">
      <alignment shrinkToFit="0" vertical="bottom" wrapText="0"/>
    </xf>
    <xf borderId="3" fillId="5" fontId="6" numFmtId="164" xfId="0" applyAlignment="1" applyBorder="1" applyFill="1" applyFont="1" applyNumberFormat="1">
      <alignment shrinkToFit="0" vertical="bottom" wrapText="0"/>
    </xf>
    <xf borderId="3" fillId="5" fontId="6" numFmtId="3" xfId="0" applyAlignment="1" applyBorder="1" applyFill="1" applyFont="1" applyNumberFormat="1">
      <alignment shrinkToFit="0" vertical="bottom" wrapText="0"/>
    </xf>
    <xf borderId="3" fillId="0" fontId="8" numFmtId="164" xfId="0" applyAlignment="1" applyBorder="1" applyFont="1" applyNumberFormat="1">
      <alignment shrinkToFit="0" vertical="bottom" wrapText="0"/>
    </xf>
    <xf borderId="3" fillId="0" fontId="6" numFmtId="164" xfId="0" applyAlignment="1" applyBorder="1" applyFont="1" applyNumberFormat="1">
      <alignment shrinkToFit="0" vertical="bottom" wrapText="0"/>
    </xf>
    <xf borderId="3" fillId="5" fontId="7" numFmtId="165" xfId="0" applyAlignment="1" applyBorder="1" applyFill="1" applyFont="1" applyNumberFormat="1">
      <alignment shrinkToFit="0" vertical="bottom" wrapText="0"/>
    </xf>
    <xf borderId="3" fillId="5" fontId="8" numFmtId="164" xfId="0" applyAlignment="1" applyBorder="1" applyFill="1" applyFont="1" applyNumberFormat="1">
      <alignment shrinkToFit="0" vertical="bottom" wrapText="0"/>
    </xf>
    <xf borderId="3" fillId="5" fontId="7" numFmtId="0" xfId="0" applyAlignment="1" applyBorder="1" applyFill="1" applyFont="1">
      <alignment horizontal="center" shrinkToFit="0" vertical="center" wrapText="0"/>
    </xf>
    <xf borderId="3" fillId="5" fontId="4" numFmtId="0" xfId="0" applyAlignment="1" applyBorder="1" applyFill="1" applyFont="1">
      <alignment shrinkToFit="0" vertical="bottom" wrapText="0"/>
    </xf>
    <xf borderId="3" fillId="0" fontId="6" numFmtId="0" xfId="0" applyAlignment="1" applyBorder="1" applyFont="1">
      <alignment shrinkToFit="0" vertical="bottom" wrapText="0"/>
    </xf>
    <xf borderId="3" fillId="0" fontId="6" numFmtId="166" xfId="0" applyAlignment="1" applyBorder="1" applyFont="1" applyNumberFormat="1">
      <alignment shrinkToFit="0" vertical="bottom" wrapText="0"/>
    </xf>
    <xf borderId="3" fillId="0" fontId="6" numFmtId="3" xfId="0" applyAlignment="1" applyBorder="1" applyFont="1" applyNumberFormat="1">
      <alignment shrinkToFit="0" vertical="bottom" wrapText="0"/>
    </xf>
    <xf borderId="3" fillId="0" fontId="7" numFmtId="165" xfId="0" applyAlignment="1" applyBorder="1" applyFont="1" applyNumberFormat="1">
      <alignment shrinkToFit="0" vertical="bottom" wrapText="0"/>
    </xf>
    <xf borderId="3" fillId="0" fontId="7" numFmtId="0" xfId="0" applyAlignment="1" applyBorder="1" applyFont="1">
      <alignment horizontal="center" shrinkToFit="0" vertical="center" wrapText="0"/>
    </xf>
    <xf borderId="3" fillId="0" fontId="4" numFmtId="0" xfId="0" applyAlignment="1" applyBorder="1" applyFont="1">
      <alignment shrinkToFit="0" vertical="bottom" wrapText="0"/>
    </xf>
    <xf borderId="3" fillId="6" fontId="8" numFmtId="0" xfId="0" applyAlignment="1" applyBorder="1" applyFill="1" applyFont="1">
      <alignment shrinkToFit="0" vertical="bottom" wrapText="0"/>
    </xf>
    <xf borderId="3" fillId="6" fontId="8" numFmtId="164" xfId="0" applyAlignment="1" applyBorder="1" applyFill="1" applyFont="1" applyNumberFormat="1">
      <alignment shrinkToFit="0" vertical="bottom" wrapText="0"/>
    </xf>
    <xf borderId="3" fillId="5" fontId="7" numFmtId="164" xfId="0" applyAlignment="1" applyBorder="1" applyFill="1" applyFont="1" applyNumberFormat="1">
      <alignment shrinkToFit="0" vertical="bottom" wrapText="0"/>
    </xf>
    <xf borderId="3" fillId="0" fontId="7" numFmtId="0" xfId="0" applyAlignment="1" applyBorder="1" applyFont="1">
      <alignment horizontal="left" shrinkToFit="0" vertical="bottom" wrapText="0"/>
    </xf>
    <xf borderId="3" fillId="0" fontId="7" numFmtId="164" xfId="0" applyAlignment="1" applyBorder="1" applyFont="1" applyNumberFormat="1">
      <alignment shrinkToFit="0" vertical="bottom" wrapText="0"/>
    </xf>
    <xf borderId="3" fillId="2" fontId="2" numFmtId="0" xfId="0" applyAlignment="1" applyBorder="1" applyFill="1" applyFont="1">
      <alignment shrinkToFit="0" vertical="bottom" wrapText="0"/>
    </xf>
    <xf borderId="3" fillId="2" fontId="2" numFmtId="164" xfId="0" applyAlignment="1" applyBorder="1" applyFill="1" applyFont="1" applyNumberFormat="1">
      <alignment shrinkToFit="0" vertical="bottom" wrapText="0"/>
    </xf>
    <xf borderId="3" fillId="0" fontId="6" numFmtId="167" xfId="0" applyAlignment="1" applyBorder="1" applyFont="1" applyNumberFormat="1">
      <alignment shrinkToFit="0" vertical="bottom" wrapText="0"/>
    </xf>
    <xf borderId="3" fillId="5" fontId="6" numFmtId="166" xfId="0" applyAlignment="1" applyBorder="1" applyFill="1" applyFont="1" applyNumberFormat="1">
      <alignment shrinkToFit="0" vertical="bottom" wrapText="0"/>
    </xf>
    <xf borderId="1" fillId="7" fontId="9" numFmtId="0" xfId="0" applyAlignment="1" applyBorder="1" applyFill="1" applyFont="1">
      <alignment horizontal="center" shrinkToFit="0" vertical="bottom" wrapText="0"/>
    </xf>
    <xf borderId="4" fillId="7" fontId="10" numFmtId="168" xfId="0" applyAlignment="1" applyBorder="1" applyFill="1" applyFont="1" applyNumberFormat="1">
      <alignment horizontal="center" shrinkToFit="0" vertical="center" wrapText="0"/>
    </xf>
    <xf borderId="5" fillId="0" fontId="3" numFmtId="0" xfId="0" applyBorder="1" applyFont="1"/>
    <xf borderId="4" fillId="7" fontId="10" numFmtId="0" xfId="0" applyAlignment="1" applyBorder="1" applyFill="1" applyFont="1">
      <alignment horizontal="center" shrinkToFit="0" vertical="center" wrapText="0"/>
    </xf>
    <xf borderId="6" fillId="0" fontId="3" numFmtId="0" xfId="0" applyBorder="1" applyFont="1"/>
    <xf borderId="4" fillId="7" fontId="10" numFmtId="165" xfId="0" applyAlignment="1" applyBorder="1" applyFill="1" applyFont="1" applyNumberFormat="1">
      <alignment horizontal="center" shrinkToFit="0" vertical="center" wrapText="0"/>
    </xf>
    <xf borderId="0" fillId="0" fontId="8" numFmtId="0" xfId="0" applyAlignment="1" applyFont="1">
      <alignment shrinkToFit="0" vertical="bottom" wrapText="0"/>
    </xf>
    <xf borderId="3" fillId="5" fontId="7" numFmtId="0" xfId="0" applyAlignment="1" applyBorder="1" applyFill="1" applyFont="1">
      <alignment shrinkToFit="0" vertical="bottom" wrapText="0"/>
    </xf>
    <xf borderId="3" fillId="5" fontId="7" numFmtId="3" xfId="0" applyAlignment="1" applyBorder="1" applyFill="1" applyFont="1" applyNumberFormat="1">
      <alignment shrinkToFit="0" vertical="bottom" wrapText="0"/>
    </xf>
    <xf borderId="3" fillId="5" fontId="7" numFmtId="168" xfId="0" applyAlignment="1" applyBorder="1" applyFill="1" applyFont="1" applyNumberFormat="1">
      <alignment shrinkToFit="0" vertical="bottom" wrapText="0"/>
    </xf>
    <xf borderId="3" fillId="0" fontId="7" numFmtId="3" xfId="0" applyAlignment="1" applyBorder="1" applyFont="1" applyNumberFormat="1">
      <alignment shrinkToFit="0" vertical="bottom" wrapText="0"/>
    </xf>
    <xf borderId="3" fillId="0" fontId="7" numFmtId="168" xfId="0" applyAlignment="1" applyBorder="1" applyFont="1" applyNumberFormat="1">
      <alignment shrinkToFit="0" vertical="bottom" wrapText="0"/>
    </xf>
    <xf borderId="3" fillId="0" fontId="8" numFmtId="0" xfId="0" applyAlignment="1" applyBorder="1" applyFont="1">
      <alignment shrinkToFit="0" vertical="bottom" wrapText="0"/>
    </xf>
    <xf borderId="3" fillId="8" fontId="11" numFmtId="164" xfId="0" applyAlignment="1" applyBorder="1" applyFill="1" applyFont="1" applyNumberFormat="1">
      <alignment shrinkToFit="0" vertical="bottom" wrapText="0"/>
    </xf>
    <xf borderId="3" fillId="8" fontId="11" numFmtId="0" xfId="0" applyAlignment="1" applyBorder="1" applyFill="1" applyFont="1">
      <alignment shrinkToFit="0" vertical="bottom" wrapText="0"/>
    </xf>
    <xf borderId="3" fillId="5" fontId="8" numFmtId="0" xfId="0" applyAlignment="1" applyBorder="1" applyFill="1" applyFont="1">
      <alignment shrinkToFit="0" vertical="bottom" wrapText="0"/>
    </xf>
    <xf borderId="3" fillId="0" fontId="6" numFmtId="165" xfId="0" applyAlignment="1" applyBorder="1" applyFont="1" applyNumberFormat="1">
      <alignment shrinkToFit="0" vertical="bottom" wrapText="0"/>
    </xf>
    <xf borderId="3" fillId="0" fontId="6" numFmtId="0" xfId="0" applyAlignment="1" applyBorder="1" applyFont="1">
      <alignment horizontal="center" shrinkToFit="0" vertical="bottom" wrapText="0"/>
    </xf>
    <xf borderId="3" fillId="0" fontId="8" numFmtId="0" xfId="0" applyAlignment="1" applyBorder="1" applyFont="1">
      <alignment horizontal="center" shrinkToFit="0" vertical="center" wrapText="0"/>
    </xf>
    <xf borderId="3" fillId="6" fontId="8" numFmtId="3" xfId="0" applyAlignment="1" applyBorder="1" applyFill="1" applyFont="1" applyNumberFormat="1">
      <alignment shrinkToFit="0" vertical="bottom" wrapText="0"/>
    </xf>
    <xf borderId="0" fillId="0" fontId="7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Calibri"/>
              </a:defRPr>
            </a:pPr>
            <a:r>
              <a:rPr b="1" i="0" sz="1800">
                <a:solidFill>
                  <a:srgbClr val="757575"/>
                </a:solidFill>
                <a:latin typeface="Calibri"/>
              </a:rPr>
              <a:t>Faturamento por Pacote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Faturamento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Dashboard!$B$15:$B$19</c:f>
            </c:strRef>
          </c:cat>
          <c:val>
            <c:numRef>
              <c:f>Dashboard!$D$15:$D$19</c:f>
              <c:numCache/>
            </c:numRef>
          </c:val>
        </c:ser>
        <c:axId val="1841849207"/>
        <c:axId val="662949042"/>
      </c:barChart>
      <c:catAx>
        <c:axId val="18418492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62949042"/>
      </c:catAx>
      <c:valAx>
        <c:axId val="66294904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R$ &quot;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41849207"/>
      </c:valAx>
    </c:plotArea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Calibri"/>
              </a:defRPr>
            </a:pPr>
            <a:r>
              <a:rPr b="1" i="0" sz="1800">
                <a:solidFill>
                  <a:srgbClr val="757575"/>
                </a:solidFill>
                <a:latin typeface="Calibri"/>
              </a:rPr>
              <a:t>Faturamento por EJ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Dashboard!$G$14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Dashboard!$F$15:$F$16</c:f>
            </c:strRef>
          </c:cat>
          <c:val>
            <c:numRef>
              <c:f>Dashboard!$G$15:$G$16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Calibri"/>
              </a:defRPr>
            </a:pPr>
            <a:r>
              <a:rPr b="1" i="0" sz="1800">
                <a:solidFill>
                  <a:srgbClr val="757575"/>
                </a:solidFill>
                <a:latin typeface="Calibri"/>
              </a:rPr>
              <a:t>Previsto × Realizado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Previsto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Dashboard!$B$24:$B$26</c:f>
            </c:strRef>
          </c:cat>
          <c:val>
            <c:numRef>
              <c:f>Dashboard!$C$24:$C$26</c:f>
              <c:numCache/>
            </c:numRef>
          </c:val>
        </c:ser>
        <c:ser>
          <c:idx val="1"/>
          <c:order val="1"/>
          <c:tx>
            <c:v>Realizado</c:v>
          </c:tx>
          <c:spPr>
            <a:solidFill>
              <a:srgbClr val="C0504D"/>
            </a:solidFill>
            <a:ln cmpd="sng">
              <a:noFill/>
            </a:ln>
          </c:spPr>
          <c:cat>
            <c:strRef>
              <c:f>Dashboard!$B$24:$B$26</c:f>
            </c:strRef>
          </c:cat>
          <c:val>
            <c:numRef>
              <c:f>Dashboard!$D$24:$D$26</c:f>
              <c:numCache/>
            </c:numRef>
          </c:val>
        </c:ser>
        <c:axId val="1372065424"/>
        <c:axId val="1522557638"/>
      </c:barChart>
      <c:catAx>
        <c:axId val="1372065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22557638"/>
      </c:catAx>
      <c:valAx>
        <c:axId val="15225576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R$ &quot;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72065424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28</xdr:row>
      <xdr:rowOff>0</xdr:rowOff>
    </xdr:from>
    <xdr:ext cx="3752850" cy="25050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685800</xdr:colOff>
      <xdr:row>28</xdr:row>
      <xdr:rowOff>0</xdr:rowOff>
    </xdr:from>
    <xdr:ext cx="2724150" cy="25050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0</xdr:colOff>
      <xdr:row>44</xdr:row>
      <xdr:rowOff>0</xdr:rowOff>
    </xdr:from>
    <xdr:ext cx="3752850" cy="25050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10" width="13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5.5" customHeight="1">
      <c r="A2" s="1"/>
      <c r="B2" s="2" t="s">
        <v>134</v>
      </c>
      <c r="C2" s="3"/>
      <c r="D2" s="3"/>
      <c r="E2" s="3"/>
      <c r="F2" s="3"/>
      <c r="G2" s="3"/>
      <c r="H2" s="3"/>
      <c r="I2" s="3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33" t="s">
        <v>136</v>
      </c>
      <c r="C4" s="3"/>
      <c r="D4" s="33" t="s">
        <v>137</v>
      </c>
      <c r="E4" s="3"/>
      <c r="F4" s="33" t="s">
        <v>138</v>
      </c>
      <c r="G4" s="3"/>
      <c r="H4" s="33" t="s">
        <v>139</v>
      </c>
      <c r="I4" s="3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34">
        <f>SUMIFS(Vendas!H5:H36,Vendas!F5:F36,"Fechado")</f>
        <v>212000</v>
      </c>
      <c r="C5" s="35"/>
      <c r="D5" s="34">
        <f>'Gastos Previstos'!C50</f>
        <v>184596.89</v>
      </c>
      <c r="E5" s="35"/>
      <c r="F5" s="34">
        <f>'Previsão de Receita'!C9</f>
        <v>27403.11</v>
      </c>
      <c r="G5" s="35"/>
      <c r="H5" s="36" t="str">
        <f>SUMPRODUCT((Vendas!F5:F36="Fechado")*1)&amp;" / "&amp;'Parâmetros'!E28</f>
        <v>25 / 73</v>
      </c>
      <c r="I5" s="35"/>
      <c r="J5" s="35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37"/>
      <c r="D6" s="37"/>
      <c r="F6" s="37"/>
      <c r="H6" s="37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33" t="s">
        <v>141</v>
      </c>
      <c r="C8" s="3"/>
      <c r="D8" s="33" t="s">
        <v>142</v>
      </c>
      <c r="E8" s="3"/>
      <c r="F8" s="33" t="s">
        <v>143</v>
      </c>
      <c r="G8" s="3"/>
      <c r="H8" s="33" t="s">
        <v>144</v>
      </c>
      <c r="I8" s="3"/>
      <c r="J8" s="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38">
        <f>IF('Previsão de Receita'!C7=0,0,'Previsão de Receita'!C8/'Previsão de Receita'!C7)</f>
        <v>1.261737574</v>
      </c>
      <c r="C9" s="35"/>
      <c r="D9" s="34">
        <f>'Gastos Realizados'!L33</f>
        <v>27306.86</v>
      </c>
      <c r="E9" s="35"/>
      <c r="F9" s="34">
        <f>MIN('Fluxo de Caixa'!C17:H17)</f>
        <v>-20156.89</v>
      </c>
      <c r="G9" s="35"/>
      <c r="H9" s="34">
        <f>'Parâmetros'!H28</f>
        <v>349000</v>
      </c>
      <c r="I9" s="35"/>
      <c r="J9" s="35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37"/>
      <c r="D10" s="37"/>
      <c r="F10" s="37"/>
      <c r="H10" s="37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39" t="s">
        <v>152</v>
      </c>
      <c r="C13" s="1"/>
      <c r="D13" s="1"/>
      <c r="E13" s="1"/>
      <c r="F13" s="39" t="s">
        <v>153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75" customHeight="1">
      <c r="A14" s="1"/>
      <c r="B14" s="5" t="s">
        <v>12</v>
      </c>
      <c r="C14" s="5" t="s">
        <v>154</v>
      </c>
      <c r="D14" s="5" t="s">
        <v>155</v>
      </c>
      <c r="E14" s="1"/>
      <c r="F14" s="5" t="s">
        <v>156</v>
      </c>
      <c r="G14" s="5" t="s">
        <v>155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40" t="s">
        <v>151</v>
      </c>
      <c r="C15" s="41">
        <f>SUMPRODUCT((Vendas!$D$5:$D$36="Executivo")*(Vendas!$F$5:$F$36="Fechado"))</f>
        <v>4</v>
      </c>
      <c r="D15" s="42">
        <f>SUMPRODUCT((Vendas!$D$5:$D$36="Executivo")*(Vendas!$F$5:$F$36="Fechado")*Vendas!$H$5:$H$36)</f>
        <v>16000</v>
      </c>
      <c r="E15" s="1"/>
      <c r="F15" s="40" t="s">
        <v>45</v>
      </c>
      <c r="G15" s="42">
        <f>SUMPRODUCT((Vendas!$B$5:$B$36="Produção Jr")*(Vendas!$F$5:$F$36="Fechado")*Vendas!$H$5:$H$36)</f>
        <v>163000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9" t="s">
        <v>98</v>
      </c>
      <c r="C16" s="43">
        <f>SUMPRODUCT((Vendas!$D$5:$D$36="Bronze")*(Vendas!$F$5:$F$36="Fechado"))</f>
        <v>13</v>
      </c>
      <c r="D16" s="44">
        <f>SUMPRODUCT((Vendas!$D$5:$D$36="Bronze")*(Vendas!$F$5:$F$36="Fechado")*Vendas!$H$5:$H$36)</f>
        <v>97500</v>
      </c>
      <c r="E16" s="1"/>
      <c r="F16" s="9" t="s">
        <v>109</v>
      </c>
      <c r="G16" s="44">
        <f>SUMPRODUCT((Vendas!$B$5:$B$36="EESC Jr")*(Vendas!$F$5:$F$36="Fechado")*Vendas!$H$5:$H$36)</f>
        <v>49000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40" t="s">
        <v>89</v>
      </c>
      <c r="C17" s="41">
        <f>SUMPRODUCT((Vendas!$D$5:$D$36="Prata")*(Vendas!$F$5:$F$36="Fechado"))</f>
        <v>6</v>
      </c>
      <c r="D17" s="42">
        <f>SUMPRODUCT((Vendas!$D$5:$D$36="Prata")*(Vendas!$F$5:$F$36="Fechado")*Vendas!$H$5:$H$36)</f>
        <v>68500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9" t="s">
        <v>47</v>
      </c>
      <c r="C18" s="43">
        <f>SUMPRODUCT((Vendas!$D$5:$D$36="Ouro")*(Vendas!$F$5:$F$36="Fechado"))</f>
        <v>2</v>
      </c>
      <c r="D18" s="44">
        <f>SUMPRODUCT((Vendas!$D$5:$D$36="Ouro")*(Vendas!$F$5:$F$36="Fechado")*Vendas!$H$5:$H$36)</f>
        <v>30000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40" t="s">
        <v>160</v>
      </c>
      <c r="C19" s="41">
        <f>SUMPRODUCT((Vendas!$D$5:$D$36="Patrocínio")*(Vendas!$F$5:$F$36="Fechado"))</f>
        <v>0</v>
      </c>
      <c r="D19" s="42">
        <f>SUMPRODUCT((Vendas!$D$5:$D$36="Patrocínio")*(Vendas!$F$5:$F$36="Fechado")*Vendas!$H$5:$H$36)</f>
        <v>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39" t="s">
        <v>161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75" customHeight="1">
      <c r="A23" s="1"/>
      <c r="B23" s="5" t="s">
        <v>4</v>
      </c>
      <c r="C23" s="5" t="s">
        <v>162</v>
      </c>
      <c r="D23" s="5" t="s">
        <v>163</v>
      </c>
      <c r="E23" s="5" t="s">
        <v>164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40" t="s">
        <v>166</v>
      </c>
      <c r="C24" s="42">
        <f>'Gastos Previstos'!C22</f>
        <v>69220.24</v>
      </c>
      <c r="D24" s="42">
        <f>SUMIFS('Gastos Realizados'!$L$5:$L$31,'Gastos Realizados'!$B$5:$B$31,"Fixo Dtrip")</f>
        <v>16838</v>
      </c>
      <c r="E24" s="14">
        <f t="shared" ref="E24:E26" si="1">IF(C24=0,0,D24/C24)</f>
        <v>0.2432525516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9" t="s">
        <v>171</v>
      </c>
      <c r="C25" s="44">
        <f>'Gastos Previstos'!C29</f>
        <v>79900</v>
      </c>
      <c r="D25" s="44">
        <v>0.0</v>
      </c>
      <c r="E25" s="21">
        <f t="shared" si="1"/>
        <v>0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40" t="s">
        <v>74</v>
      </c>
      <c r="C26" s="42">
        <f>'Gastos Previstos'!C48</f>
        <v>35476.65</v>
      </c>
      <c r="D26" s="42">
        <f>SUMIFS('Gastos Realizados'!$L$5:$L$31,'Gastos Realizados'!$B$5:$B$31,"Outros")</f>
        <v>10468.86</v>
      </c>
      <c r="E26" s="14">
        <f t="shared" si="1"/>
        <v>0.2950915602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F5:G6"/>
    <mergeCell ref="H5:J6"/>
    <mergeCell ref="B8:C8"/>
    <mergeCell ref="D8:E8"/>
    <mergeCell ref="F8:G8"/>
    <mergeCell ref="H8:J8"/>
    <mergeCell ref="B9:C10"/>
    <mergeCell ref="D9:E10"/>
    <mergeCell ref="F9:G10"/>
    <mergeCell ref="H9:J10"/>
    <mergeCell ref="B2:J2"/>
    <mergeCell ref="B4:C4"/>
    <mergeCell ref="D4:E4"/>
    <mergeCell ref="F4:G4"/>
    <mergeCell ref="H4:J4"/>
    <mergeCell ref="B5:C6"/>
    <mergeCell ref="D5:E6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49.0"/>
    <col customWidth="1" min="3" max="3" width="15.71"/>
    <col customWidth="1" min="4" max="5" width="14.29"/>
    <col customWidth="1" min="6" max="6" width="15.57"/>
    <col customWidth="1" min="7" max="9" width="11.29"/>
  </cols>
  <sheetData>
    <row r="1">
      <c r="A1" s="1"/>
      <c r="B1" s="1"/>
      <c r="C1" s="1"/>
      <c r="D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5.5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4"/>
      <c r="C3" s="1"/>
      <c r="D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75" customHeight="1">
      <c r="A4" s="1"/>
      <c r="B4" s="5" t="s">
        <v>3</v>
      </c>
      <c r="C4" s="5" t="s">
        <v>5</v>
      </c>
      <c r="D4" s="5" t="s">
        <v>7</v>
      </c>
      <c r="E4" s="5" t="s">
        <v>10</v>
      </c>
      <c r="F4" s="5" t="s">
        <v>14</v>
      </c>
      <c r="G4" s="5" t="s">
        <v>15</v>
      </c>
      <c r="H4" s="5" t="s">
        <v>18</v>
      </c>
      <c r="I4" s="5" t="s">
        <v>20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6" t="s">
        <v>32</v>
      </c>
      <c r="C5" s="7"/>
      <c r="D5" s="7"/>
      <c r="E5" s="7"/>
      <c r="F5" s="7"/>
      <c r="G5" s="7"/>
      <c r="H5" s="7"/>
      <c r="I5" s="7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9" t="s">
        <v>42</v>
      </c>
      <c r="C6" s="12">
        <f t="shared" ref="C6:C21" si="1">SUM(D6:I6)</f>
        <v>25257</v>
      </c>
      <c r="D6" s="13">
        <v>8419.0</v>
      </c>
      <c r="E6" s="13">
        <v>8419.0</v>
      </c>
      <c r="F6" s="13">
        <v>8419.0</v>
      </c>
      <c r="G6" s="13"/>
      <c r="H6" s="13"/>
      <c r="I6" s="13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9" t="s">
        <v>48</v>
      </c>
      <c r="C7" s="12">
        <f t="shared" si="1"/>
        <v>3060</v>
      </c>
      <c r="D7" s="13"/>
      <c r="E7" s="13"/>
      <c r="F7" s="13">
        <v>3060.0</v>
      </c>
      <c r="G7" s="13"/>
      <c r="H7" s="13"/>
      <c r="I7" s="13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9" t="s">
        <v>49</v>
      </c>
      <c r="C8" s="12">
        <f t="shared" si="1"/>
        <v>2933.5</v>
      </c>
      <c r="D8" s="13"/>
      <c r="E8" s="13"/>
      <c r="F8" s="13">
        <v>2933.5</v>
      </c>
      <c r="G8" s="13"/>
      <c r="H8" s="13"/>
      <c r="I8" s="13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9" t="s">
        <v>50</v>
      </c>
      <c r="C9" s="12">
        <f t="shared" si="1"/>
        <v>4532</v>
      </c>
      <c r="D9" s="13"/>
      <c r="E9" s="13"/>
      <c r="F9" s="13">
        <v>4532.0</v>
      </c>
      <c r="G9" s="13"/>
      <c r="H9" s="13"/>
      <c r="I9" s="13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9" t="s">
        <v>51</v>
      </c>
      <c r="C10" s="12">
        <f t="shared" si="1"/>
        <v>10227.24</v>
      </c>
      <c r="D10" s="13"/>
      <c r="E10" s="13"/>
      <c r="F10" s="13">
        <v>10227.24</v>
      </c>
      <c r="G10" s="13"/>
      <c r="H10" s="13"/>
      <c r="I10" s="13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9" t="s">
        <v>52</v>
      </c>
      <c r="C11" s="12">
        <f t="shared" si="1"/>
        <v>560</v>
      </c>
      <c r="D11" s="13"/>
      <c r="E11" s="13"/>
      <c r="F11" s="13">
        <v>560.0</v>
      </c>
      <c r="G11" s="13"/>
      <c r="H11" s="13"/>
      <c r="I11" s="13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9" t="s">
        <v>53</v>
      </c>
      <c r="C12" s="12">
        <f t="shared" si="1"/>
        <v>900</v>
      </c>
      <c r="D12" s="13"/>
      <c r="E12" s="13"/>
      <c r="F12" s="13">
        <v>900.0</v>
      </c>
      <c r="G12" s="13"/>
      <c r="H12" s="13"/>
      <c r="I12" s="13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9" t="s">
        <v>54</v>
      </c>
      <c r="C13" s="12">
        <f t="shared" si="1"/>
        <v>1980</v>
      </c>
      <c r="D13" s="13"/>
      <c r="E13" s="13"/>
      <c r="F13" s="13">
        <v>1980.0</v>
      </c>
      <c r="G13" s="13"/>
      <c r="H13" s="13"/>
      <c r="I13" s="13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9" t="s">
        <v>55</v>
      </c>
      <c r="C14" s="12">
        <f t="shared" si="1"/>
        <v>440</v>
      </c>
      <c r="D14" s="13"/>
      <c r="E14" s="13"/>
      <c r="F14" s="13">
        <v>440.0</v>
      </c>
      <c r="G14" s="13"/>
      <c r="H14" s="13"/>
      <c r="I14" s="13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9" t="s">
        <v>56</v>
      </c>
      <c r="C15" s="12">
        <f t="shared" si="1"/>
        <v>880</v>
      </c>
      <c r="D15" s="13"/>
      <c r="E15" s="13"/>
      <c r="F15" s="13">
        <v>880.0</v>
      </c>
      <c r="G15" s="13"/>
      <c r="H15" s="13"/>
      <c r="I15" s="13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9" t="s">
        <v>59</v>
      </c>
      <c r="C16" s="12">
        <f t="shared" si="1"/>
        <v>1000</v>
      </c>
      <c r="D16" s="13"/>
      <c r="E16" s="13"/>
      <c r="F16" s="13">
        <v>1000.0</v>
      </c>
      <c r="G16" s="13"/>
      <c r="H16" s="13"/>
      <c r="I16" s="13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9" t="s">
        <v>61</v>
      </c>
      <c r="C17" s="12">
        <f t="shared" si="1"/>
        <v>1595</v>
      </c>
      <c r="D17" s="13"/>
      <c r="E17" s="13"/>
      <c r="F17" s="13">
        <v>1595.0</v>
      </c>
      <c r="G17" s="13"/>
      <c r="H17" s="13"/>
      <c r="I17" s="13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9" t="s">
        <v>62</v>
      </c>
      <c r="C18" s="12">
        <f t="shared" si="1"/>
        <v>920</v>
      </c>
      <c r="D18" s="13"/>
      <c r="E18" s="13"/>
      <c r="F18" s="13">
        <v>920.0</v>
      </c>
      <c r="G18" s="13"/>
      <c r="H18" s="13"/>
      <c r="I18" s="13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9" t="s">
        <v>63</v>
      </c>
      <c r="C19" s="12">
        <f t="shared" si="1"/>
        <v>1750</v>
      </c>
      <c r="D19" s="13"/>
      <c r="E19" s="13"/>
      <c r="F19" s="13">
        <v>1750.0</v>
      </c>
      <c r="G19" s="13"/>
      <c r="H19" s="13"/>
      <c r="I19" s="13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9" t="s">
        <v>64</v>
      </c>
      <c r="C20" s="12">
        <f t="shared" si="1"/>
        <v>4500</v>
      </c>
      <c r="D20" s="13"/>
      <c r="E20" s="13"/>
      <c r="F20" s="13">
        <v>4500.0</v>
      </c>
      <c r="G20" s="13"/>
      <c r="H20" s="13"/>
      <c r="I20" s="13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9" t="s">
        <v>66</v>
      </c>
      <c r="C21" s="12">
        <f t="shared" si="1"/>
        <v>8685.5</v>
      </c>
      <c r="D21" s="13"/>
      <c r="E21" s="13"/>
      <c r="F21" s="13">
        <v>8685.5</v>
      </c>
      <c r="G21" s="13"/>
      <c r="H21" s="13"/>
      <c r="I21" s="1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24" t="s">
        <v>67</v>
      </c>
      <c r="C22" s="25">
        <f t="shared" ref="C22:I22" si="2">SUM(C6:C21)</f>
        <v>69220.24</v>
      </c>
      <c r="D22" s="25">
        <f t="shared" si="2"/>
        <v>8419</v>
      </c>
      <c r="E22" s="25">
        <f t="shared" si="2"/>
        <v>8419</v>
      </c>
      <c r="F22" s="25">
        <f t="shared" si="2"/>
        <v>52382.24</v>
      </c>
      <c r="G22" s="25">
        <f t="shared" si="2"/>
        <v>0</v>
      </c>
      <c r="H22" s="25">
        <f t="shared" si="2"/>
        <v>0</v>
      </c>
      <c r="I22" s="25">
        <f t="shared" si="2"/>
        <v>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6" t="s">
        <v>70</v>
      </c>
      <c r="C23" s="7"/>
      <c r="D23" s="7"/>
      <c r="E23" s="7"/>
      <c r="F23" s="7"/>
      <c r="G23" s="7"/>
      <c r="H23" s="7"/>
      <c r="I23" s="7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9" t="s">
        <v>72</v>
      </c>
      <c r="C24" s="12">
        <f t="shared" ref="C24:C28" si="3">SUM(D24:I24)</f>
        <v>6000</v>
      </c>
      <c r="D24" s="13"/>
      <c r="E24" s="13"/>
      <c r="F24" s="13">
        <v>6000.0</v>
      </c>
      <c r="G24" s="13"/>
      <c r="H24" s="13"/>
      <c r="I24" s="13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9" t="s">
        <v>77</v>
      </c>
      <c r="C25" s="12">
        <f t="shared" si="3"/>
        <v>38350</v>
      </c>
      <c r="D25" s="13"/>
      <c r="E25" s="13"/>
      <c r="F25" s="13">
        <v>38350.0</v>
      </c>
      <c r="G25" s="13"/>
      <c r="H25" s="13"/>
      <c r="I25" s="13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9" t="s">
        <v>79</v>
      </c>
      <c r="C26" s="12">
        <f t="shared" si="3"/>
        <v>23700</v>
      </c>
      <c r="D26" s="13"/>
      <c r="E26" s="13"/>
      <c r="F26" s="13">
        <v>23700.0</v>
      </c>
      <c r="G26" s="13"/>
      <c r="H26" s="13"/>
      <c r="I26" s="13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9" t="s">
        <v>81</v>
      </c>
      <c r="C27" s="12">
        <f t="shared" si="3"/>
        <v>11850</v>
      </c>
      <c r="D27" s="13"/>
      <c r="E27" s="13"/>
      <c r="F27" s="13">
        <v>11850.0</v>
      </c>
      <c r="G27" s="13"/>
      <c r="H27" s="13"/>
      <c r="I27" s="13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9" t="s">
        <v>82</v>
      </c>
      <c r="C28" s="12">
        <f t="shared" si="3"/>
        <v>0</v>
      </c>
      <c r="D28" s="13"/>
      <c r="E28" s="13">
        <v>0.0</v>
      </c>
      <c r="F28" s="13">
        <v>0.0</v>
      </c>
      <c r="G28" s="13"/>
      <c r="H28" s="13"/>
      <c r="I28" s="13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24" t="s">
        <v>83</v>
      </c>
      <c r="C29" s="25">
        <f t="shared" ref="C29:I29" si="4">SUM(C24:C28)</f>
        <v>79900</v>
      </c>
      <c r="D29" s="25">
        <f t="shared" si="4"/>
        <v>0</v>
      </c>
      <c r="E29" s="25">
        <f t="shared" si="4"/>
        <v>0</v>
      </c>
      <c r="F29" s="25">
        <f t="shared" si="4"/>
        <v>79900</v>
      </c>
      <c r="G29" s="25">
        <f t="shared" si="4"/>
        <v>0</v>
      </c>
      <c r="H29" s="25">
        <f t="shared" si="4"/>
        <v>0</v>
      </c>
      <c r="I29" s="25">
        <f t="shared" si="4"/>
        <v>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6" t="s">
        <v>84</v>
      </c>
      <c r="C30" s="7"/>
      <c r="D30" s="7"/>
      <c r="E30" s="7"/>
      <c r="F30" s="7"/>
      <c r="G30" s="7"/>
      <c r="H30" s="7"/>
      <c r="I30" s="7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27" t="s">
        <v>85</v>
      </c>
      <c r="C31" s="12">
        <f>SUM(D31:I31)</f>
        <v>1440</v>
      </c>
      <c r="D31" s="13"/>
      <c r="E31" s="13">
        <v>1440.0</v>
      </c>
      <c r="F31" s="13"/>
      <c r="G31" s="13"/>
      <c r="H31" s="13"/>
      <c r="I31" s="13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27" t="s">
        <v>86</v>
      </c>
      <c r="C32" s="12">
        <v>2880.0</v>
      </c>
      <c r="D32" s="13">
        <v>480.0</v>
      </c>
      <c r="E32" s="13">
        <v>480.0</v>
      </c>
      <c r="F32" s="13">
        <v>480.0</v>
      </c>
      <c r="G32" s="13">
        <v>480.0</v>
      </c>
      <c r="H32" s="13"/>
      <c r="I32" s="1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27" t="s">
        <v>88</v>
      </c>
      <c r="C33" s="12">
        <f>2280</f>
        <v>2280</v>
      </c>
      <c r="D33" s="13">
        <v>1140.0</v>
      </c>
      <c r="E33" s="13">
        <v>1140.0</v>
      </c>
      <c r="F33" s="13"/>
      <c r="G33" s="13"/>
      <c r="H33" s="13"/>
      <c r="I33" s="13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27" t="s">
        <v>90</v>
      </c>
      <c r="C34" s="12">
        <f t="shared" ref="C34:C44" si="5">SUM(D34:I34)</f>
        <v>2150</v>
      </c>
      <c r="D34" s="13"/>
      <c r="E34" s="13"/>
      <c r="F34" s="13">
        <v>2150.0</v>
      </c>
      <c r="G34" s="13"/>
      <c r="H34" s="13"/>
      <c r="I34" s="1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27" t="s">
        <v>91</v>
      </c>
      <c r="C35" s="12">
        <f t="shared" si="5"/>
        <v>615</v>
      </c>
      <c r="D35" s="13"/>
      <c r="E35" s="13"/>
      <c r="F35" s="13">
        <v>615.0</v>
      </c>
      <c r="G35" s="13"/>
      <c r="H35" s="13"/>
      <c r="I35" s="1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27" t="s">
        <v>92</v>
      </c>
      <c r="C36" s="12">
        <f t="shared" si="5"/>
        <v>2840</v>
      </c>
      <c r="D36" s="13"/>
      <c r="E36" s="13">
        <v>0.0</v>
      </c>
      <c r="F36" s="13">
        <v>2840.0</v>
      </c>
      <c r="G36" s="13"/>
      <c r="H36" s="13"/>
      <c r="I36" s="13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27" t="s">
        <v>93</v>
      </c>
      <c r="C37" s="12">
        <f t="shared" si="5"/>
        <v>2721.01</v>
      </c>
      <c r="D37" s="13"/>
      <c r="E37" s="13"/>
      <c r="F37" s="13">
        <v>2721.01</v>
      </c>
      <c r="G37" s="13"/>
      <c r="H37" s="13"/>
      <c r="I37" s="13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27" t="s">
        <v>94</v>
      </c>
      <c r="C38" s="12">
        <f t="shared" si="5"/>
        <v>1779.23</v>
      </c>
      <c r="D38" s="13"/>
      <c r="E38" s="13">
        <v>1779.23</v>
      </c>
      <c r="F38" s="13"/>
      <c r="G38" s="13"/>
      <c r="H38" s="13"/>
      <c r="I38" s="13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27" t="s">
        <v>95</v>
      </c>
      <c r="C39" s="12">
        <f t="shared" si="5"/>
        <v>800</v>
      </c>
      <c r="D39" s="13"/>
      <c r="E39" s="13"/>
      <c r="F39" s="13">
        <v>800.0</v>
      </c>
      <c r="G39" s="13"/>
      <c r="H39" s="13"/>
      <c r="I39" s="13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27" t="s">
        <v>96</v>
      </c>
      <c r="C40" s="12">
        <f t="shared" si="5"/>
        <v>1650</v>
      </c>
      <c r="D40" s="13"/>
      <c r="E40" s="13"/>
      <c r="F40" s="13">
        <v>1650.0</v>
      </c>
      <c r="G40" s="13"/>
      <c r="H40" s="13"/>
      <c r="I40" s="13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27" t="s">
        <v>99</v>
      </c>
      <c r="C41" s="12">
        <f t="shared" si="5"/>
        <v>50</v>
      </c>
      <c r="D41" s="13"/>
      <c r="E41" s="13">
        <v>50.0</v>
      </c>
      <c r="F41" s="13"/>
      <c r="G41" s="13"/>
      <c r="H41" s="13"/>
      <c r="I41" s="13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27" t="s">
        <v>100</v>
      </c>
      <c r="C42" s="12">
        <f t="shared" si="5"/>
        <v>96</v>
      </c>
      <c r="D42" s="13"/>
      <c r="E42" s="13">
        <v>96.0</v>
      </c>
      <c r="F42" s="13"/>
      <c r="G42" s="13"/>
      <c r="H42" s="13"/>
      <c r="I42" s="1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27" t="s">
        <v>101</v>
      </c>
      <c r="C43" s="12">
        <f t="shared" si="5"/>
        <v>4375.41</v>
      </c>
      <c r="D43" s="13"/>
      <c r="E43" s="13">
        <v>2000.0</v>
      </c>
      <c r="F43" s="13">
        <v>2375.41</v>
      </c>
      <c r="G43" s="13"/>
      <c r="H43" s="13"/>
      <c r="I43" s="13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27" t="s">
        <v>102</v>
      </c>
      <c r="C44" s="12">
        <f t="shared" si="5"/>
        <v>3800</v>
      </c>
      <c r="D44" s="13"/>
      <c r="E44" s="13"/>
      <c r="F44" s="13">
        <v>3800.0</v>
      </c>
      <c r="G44" s="13"/>
      <c r="H44" s="13"/>
      <c r="I44" s="1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27" t="s">
        <v>103</v>
      </c>
      <c r="C45" s="12">
        <v>1800.0</v>
      </c>
      <c r="D45" s="13">
        <v>900.0</v>
      </c>
      <c r="E45" s="13"/>
      <c r="F45" s="13">
        <v>900.0</v>
      </c>
      <c r="G45" s="13"/>
      <c r="H45" s="13"/>
      <c r="I45" s="13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27" t="s">
        <v>104</v>
      </c>
      <c r="C46" s="12">
        <f t="shared" ref="C46:C47" si="6">SUM(D46:I46)</f>
        <v>5000</v>
      </c>
      <c r="D46" s="13"/>
      <c r="E46" s="13"/>
      <c r="F46" s="13">
        <v>5000.0</v>
      </c>
      <c r="G46" s="13"/>
      <c r="H46" s="13"/>
      <c r="I46" s="13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27" t="s">
        <v>105</v>
      </c>
      <c r="C47" s="12">
        <f t="shared" si="6"/>
        <v>1200</v>
      </c>
      <c r="D47" s="13"/>
      <c r="E47" s="13"/>
      <c r="F47" s="13">
        <v>1200.0</v>
      </c>
      <c r="G47" s="13"/>
      <c r="H47" s="13"/>
      <c r="I47" s="1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24" t="s">
        <v>106</v>
      </c>
      <c r="C48" s="25">
        <f t="shared" ref="C48:I48" si="7">SUM(C31:C47)</f>
        <v>35476.65</v>
      </c>
      <c r="D48" s="25">
        <f t="shared" si="7"/>
        <v>2520</v>
      </c>
      <c r="E48" s="25">
        <f t="shared" si="7"/>
        <v>6985.23</v>
      </c>
      <c r="F48" s="25">
        <f t="shared" si="7"/>
        <v>24531.42</v>
      </c>
      <c r="G48" s="25">
        <f t="shared" si="7"/>
        <v>480</v>
      </c>
      <c r="H48" s="25">
        <f t="shared" si="7"/>
        <v>0</v>
      </c>
      <c r="I48" s="25">
        <f t="shared" si="7"/>
        <v>0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29" t="s">
        <v>108</v>
      </c>
      <c r="C50" s="30">
        <f t="shared" ref="C50:I50" si="8">C22+C29+C48</f>
        <v>184596.89</v>
      </c>
      <c r="D50" s="30">
        <f t="shared" si="8"/>
        <v>10939</v>
      </c>
      <c r="E50" s="30">
        <f t="shared" si="8"/>
        <v>15404.23</v>
      </c>
      <c r="F50" s="30">
        <f t="shared" si="8"/>
        <v>156813.66</v>
      </c>
      <c r="G50" s="30">
        <f t="shared" si="8"/>
        <v>480</v>
      </c>
      <c r="H50" s="30">
        <f t="shared" si="8"/>
        <v>0</v>
      </c>
      <c r="I50" s="30">
        <f t="shared" si="8"/>
        <v>0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I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3.0"/>
    <col customWidth="1" min="3" max="3" width="18.0"/>
    <col customWidth="1" min="4" max="4" width="11.86"/>
    <col customWidth="1" min="5" max="5" width="12.0"/>
    <col customWidth="1" min="6" max="6" width="12.86"/>
    <col customWidth="1" min="7" max="7" width="13.0"/>
    <col customWidth="1" min="8" max="9" width="12.0"/>
    <col customWidth="1" min="10" max="10" width="11.0"/>
    <col customWidth="1" min="11" max="11" width="12.0"/>
    <col customWidth="1" min="12" max="12" width="11.0"/>
    <col customWidth="1" min="13" max="13" width="12.0"/>
    <col customWidth="1" min="14" max="14" width="11.0"/>
    <col customWidth="1" min="15" max="15" width="12.0"/>
    <col customWidth="1" min="16" max="16" width="11.0"/>
    <col customWidth="1" min="17" max="17" width="12.0"/>
    <col customWidth="1" min="18" max="18" width="7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5.5" customHeight="1">
      <c r="A2" s="1"/>
      <c r="B2" s="2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4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0.0" customHeight="1">
      <c r="A4" s="1"/>
      <c r="B4" s="5" t="s">
        <v>6</v>
      </c>
      <c r="C4" s="5" t="s">
        <v>9</v>
      </c>
      <c r="D4" s="5" t="s">
        <v>12</v>
      </c>
      <c r="E4" s="5" t="s">
        <v>17</v>
      </c>
      <c r="F4" s="5" t="s">
        <v>8</v>
      </c>
      <c r="G4" s="5" t="s">
        <v>22</v>
      </c>
      <c r="H4" s="5" t="s">
        <v>24</v>
      </c>
      <c r="I4" s="5" t="s">
        <v>26</v>
      </c>
      <c r="J4" s="5" t="s">
        <v>28</v>
      </c>
      <c r="K4" s="5" t="s">
        <v>30</v>
      </c>
      <c r="L4" s="5" t="s">
        <v>33</v>
      </c>
      <c r="M4" s="5" t="s">
        <v>35</v>
      </c>
      <c r="N4" s="5" t="s">
        <v>36</v>
      </c>
      <c r="O4" s="5" t="s">
        <v>37</v>
      </c>
      <c r="P4" s="5" t="s">
        <v>38</v>
      </c>
      <c r="Q4" s="5" t="s">
        <v>39</v>
      </c>
      <c r="R4" s="5" t="s">
        <v>31</v>
      </c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8" t="s">
        <v>45</v>
      </c>
      <c r="C5" s="8" t="s">
        <v>46</v>
      </c>
      <c r="D5" s="8" t="s">
        <v>47</v>
      </c>
      <c r="E5" s="10">
        <f t="array" ref="E5">IFERROR(INDEX('Parâmetros'!$C$23:$C$27,MATCH(D5,'Parâmetros'!$B$23:$B$27,0)),"")</f>
        <v>15000</v>
      </c>
      <c r="F5" s="8" t="s">
        <v>57</v>
      </c>
      <c r="G5" s="19"/>
      <c r="H5" s="10">
        <v>15000.0</v>
      </c>
      <c r="I5" s="10">
        <f t="array" ref="I5">IFERROR(INDEX('Parâmetros'!$F$23:$F$27,MATCH(D5,'Parâmetros'!$B$23:$B$27,0)),"")</f>
        <v>5925</v>
      </c>
      <c r="J5" s="15">
        <f t="shared" ref="J5:J32" si="1">IF(H5="","",H5-I5)</f>
        <v>9075</v>
      </c>
      <c r="K5" s="19">
        <v>46204.0</v>
      </c>
      <c r="L5" s="13">
        <v>7500.0</v>
      </c>
      <c r="M5" s="19">
        <v>46204.0</v>
      </c>
      <c r="N5" s="13">
        <v>7500.0</v>
      </c>
      <c r="O5" s="19"/>
      <c r="P5" s="13"/>
      <c r="Q5" s="26">
        <f t="shared" ref="Q5:Q32" si="2">L5+N5+P5</f>
        <v>15000</v>
      </c>
      <c r="R5" s="16" t="str">
        <f t="shared" ref="R5:R32" si="3">IF(H5="","",IF(ROUND(Q5-H5,2)=0,"OK","≠"))</f>
        <v>OK</v>
      </c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18" t="s">
        <v>45</v>
      </c>
      <c r="C6" s="18" t="s">
        <v>78</v>
      </c>
      <c r="D6" s="18" t="s">
        <v>47</v>
      </c>
      <c r="E6" s="13">
        <f t="array" ref="E6">IFERROR(INDEX('Parâmetros'!$C$23:$C$27,MATCH(D6,'Parâmetros'!$B$23:$B$27,0)),"")</f>
        <v>15000</v>
      </c>
      <c r="F6" s="18" t="s">
        <v>57</v>
      </c>
      <c r="G6" s="19"/>
      <c r="H6" s="13">
        <v>15000.0</v>
      </c>
      <c r="I6" s="13">
        <f t="array" ref="I6">IFERROR(INDEX('Parâmetros'!$F$23:$F$27,MATCH(D6,'Parâmetros'!$B$23:$B$27,0)),"")</f>
        <v>5925</v>
      </c>
      <c r="J6" s="12">
        <f t="shared" si="1"/>
        <v>9075</v>
      </c>
      <c r="K6" s="19">
        <v>46204.0</v>
      </c>
      <c r="L6" s="13">
        <v>15000.0</v>
      </c>
      <c r="M6" s="19"/>
      <c r="N6" s="13"/>
      <c r="O6" s="19"/>
      <c r="P6" s="13"/>
      <c r="Q6" s="28">
        <f t="shared" si="2"/>
        <v>15000</v>
      </c>
      <c r="R6" s="22" t="str">
        <f t="shared" si="3"/>
        <v>OK</v>
      </c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8" t="s">
        <v>45</v>
      </c>
      <c r="C7" s="8" t="s">
        <v>87</v>
      </c>
      <c r="D7" s="8" t="s">
        <v>89</v>
      </c>
      <c r="E7" s="10">
        <f t="array" ref="E7">IFERROR(INDEX('Parâmetros'!$C$23:$C$27,MATCH(D7,'Parâmetros'!$B$23:$B$27,0)),"")</f>
        <v>11500</v>
      </c>
      <c r="F7" s="8" t="s">
        <v>57</v>
      </c>
      <c r="G7" s="19"/>
      <c r="H7" s="10">
        <v>11500.0</v>
      </c>
      <c r="I7" s="10">
        <f t="array" ref="I7">IFERROR(INDEX('Parâmetros'!$F$23:$F$27,MATCH(D7,'Parâmetros'!$B$23:$B$27,0)),"")</f>
        <v>3950</v>
      </c>
      <c r="J7" s="15">
        <f t="shared" si="1"/>
        <v>7550</v>
      </c>
      <c r="K7" s="19">
        <v>46256.0</v>
      </c>
      <c r="L7" s="13">
        <v>11500.0</v>
      </c>
      <c r="M7" s="19"/>
      <c r="N7" s="13"/>
      <c r="O7" s="19"/>
      <c r="P7" s="13"/>
      <c r="Q7" s="26">
        <f t="shared" si="2"/>
        <v>11500</v>
      </c>
      <c r="R7" s="16" t="str">
        <f t="shared" si="3"/>
        <v>OK</v>
      </c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8" t="s">
        <v>45</v>
      </c>
      <c r="C8" s="18" t="s">
        <v>97</v>
      </c>
      <c r="D8" s="18" t="s">
        <v>98</v>
      </c>
      <c r="E8" s="13">
        <f t="array" ref="E8">IFERROR(INDEX('Parâmetros'!$C$23:$C$27,MATCH(D8,'Parâmetros'!$B$23:$B$27,0)),"")</f>
        <v>7500</v>
      </c>
      <c r="F8" s="18" t="s">
        <v>57</v>
      </c>
      <c r="G8" s="19"/>
      <c r="H8" s="13">
        <v>7500.0</v>
      </c>
      <c r="I8" s="13">
        <f t="array" ref="I8">IFERROR(INDEX('Parâmetros'!$F$23:$F$27,MATCH(D8,'Parâmetros'!$B$23:$B$27,0)),"")</f>
        <v>2950</v>
      </c>
      <c r="J8" s="12">
        <f t="shared" si="1"/>
        <v>4550</v>
      </c>
      <c r="K8" s="19">
        <v>46204.0</v>
      </c>
      <c r="L8" s="13">
        <v>7500.0</v>
      </c>
      <c r="M8" s="19"/>
      <c r="N8" s="13"/>
      <c r="O8" s="19"/>
      <c r="P8" s="13"/>
      <c r="Q8" s="28">
        <f t="shared" si="2"/>
        <v>7500</v>
      </c>
      <c r="R8" s="22" t="str">
        <f t="shared" si="3"/>
        <v>OK</v>
      </c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8" t="s">
        <v>45</v>
      </c>
      <c r="C9" s="8" t="s">
        <v>107</v>
      </c>
      <c r="D9" s="8" t="s">
        <v>98</v>
      </c>
      <c r="E9" s="10">
        <f t="array" ref="E9">IFERROR(INDEX('Parâmetros'!$C$23:$C$27,MATCH(D9,'Parâmetros'!$B$23:$B$27,0)),"")</f>
        <v>7500</v>
      </c>
      <c r="F9" s="8" t="s">
        <v>57</v>
      </c>
      <c r="G9" s="19"/>
      <c r="H9" s="10">
        <v>9500.0</v>
      </c>
      <c r="I9" s="10">
        <f t="array" ref="I9">IFERROR(INDEX('Parâmetros'!$F$23:$F$27,MATCH(D9,'Parâmetros'!$B$23:$B$27,0)),"")</f>
        <v>2950</v>
      </c>
      <c r="J9" s="15">
        <f t="shared" si="1"/>
        <v>6550</v>
      </c>
      <c r="K9" s="19">
        <v>46233.0</v>
      </c>
      <c r="L9" s="13">
        <v>9500.0</v>
      </c>
      <c r="M9" s="19"/>
      <c r="N9" s="13"/>
      <c r="O9" s="19"/>
      <c r="P9" s="13"/>
      <c r="Q9" s="26">
        <f t="shared" si="2"/>
        <v>9500</v>
      </c>
      <c r="R9" s="16" t="str">
        <f t="shared" si="3"/>
        <v>OK</v>
      </c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8" t="s">
        <v>109</v>
      </c>
      <c r="C10" s="18" t="s">
        <v>110</v>
      </c>
      <c r="D10" s="18" t="s">
        <v>89</v>
      </c>
      <c r="E10" s="13">
        <f t="array" ref="E10">IFERROR(INDEX('Parâmetros'!$C$23:$C$27,MATCH(D10,'Parâmetros'!$B$23:$B$27,0)),"")</f>
        <v>11500</v>
      </c>
      <c r="F10" s="18" t="s">
        <v>57</v>
      </c>
      <c r="G10" s="19"/>
      <c r="H10" s="13">
        <v>11500.0</v>
      </c>
      <c r="I10" s="13">
        <f t="array" ref="I10">IFERROR(INDEX('Parâmetros'!$F$23:$F$27,MATCH(D10,'Parâmetros'!$B$23:$B$27,0)),"")</f>
        <v>3950</v>
      </c>
      <c r="J10" s="12">
        <f t="shared" si="1"/>
        <v>7550</v>
      </c>
      <c r="K10" s="19">
        <v>46254.0</v>
      </c>
      <c r="L10" s="13">
        <v>11500.0</v>
      </c>
      <c r="M10" s="19"/>
      <c r="N10" s="13"/>
      <c r="O10" s="19"/>
      <c r="P10" s="13"/>
      <c r="Q10" s="28">
        <f t="shared" si="2"/>
        <v>11500</v>
      </c>
      <c r="R10" s="22" t="str">
        <f t="shared" si="3"/>
        <v>OK</v>
      </c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8" t="s">
        <v>109</v>
      </c>
      <c r="C11" s="8" t="s">
        <v>111</v>
      </c>
      <c r="D11" s="8" t="s">
        <v>98</v>
      </c>
      <c r="E11" s="10">
        <f t="array" ref="E11">IFERROR(INDEX('Parâmetros'!$C$23:$C$27,MATCH(D11,'Parâmetros'!$B$23:$B$27,0)),"")</f>
        <v>7500</v>
      </c>
      <c r="F11" s="8" t="s">
        <v>57</v>
      </c>
      <c r="G11" s="19"/>
      <c r="H11" s="10">
        <v>7500.0</v>
      </c>
      <c r="I11" s="10">
        <f t="array" ref="I11">IFERROR(INDEX('Parâmetros'!$F$23:$F$27,MATCH(D11,'Parâmetros'!$B$23:$B$27,0)),"")</f>
        <v>2950</v>
      </c>
      <c r="J11" s="15">
        <f t="shared" si="1"/>
        <v>4550</v>
      </c>
      <c r="K11" s="19">
        <v>46279.0</v>
      </c>
      <c r="L11" s="13">
        <v>7500.0</v>
      </c>
      <c r="M11" s="19"/>
      <c r="N11" s="13"/>
      <c r="O11" s="19"/>
      <c r="P11" s="13"/>
      <c r="Q11" s="26">
        <f t="shared" si="2"/>
        <v>7500</v>
      </c>
      <c r="R11" s="16" t="str">
        <f t="shared" si="3"/>
        <v>OK</v>
      </c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8" t="s">
        <v>45</v>
      </c>
      <c r="C12" s="18" t="s">
        <v>113</v>
      </c>
      <c r="D12" s="18" t="s">
        <v>98</v>
      </c>
      <c r="E12" s="13">
        <f t="array" ref="E12">IFERROR(INDEX('Parâmetros'!$C$23:$C$27,MATCH(D12,'Parâmetros'!$B$23:$B$27,0)),"")</f>
        <v>7500</v>
      </c>
      <c r="F12" s="18" t="s">
        <v>57</v>
      </c>
      <c r="G12" s="19"/>
      <c r="H12" s="13">
        <v>5500.0</v>
      </c>
      <c r="I12" s="13">
        <f t="array" ref="I12">IFERROR(INDEX('Parâmetros'!$F$23:$F$27,MATCH(D12,'Parâmetros'!$B$23:$B$27,0)),"")</f>
        <v>2950</v>
      </c>
      <c r="J12" s="12">
        <f t="shared" si="1"/>
        <v>2550</v>
      </c>
      <c r="K12" s="31"/>
      <c r="L12" s="13"/>
      <c r="M12" s="19"/>
      <c r="N12" s="13">
        <v>0.0</v>
      </c>
      <c r="O12" s="19"/>
      <c r="P12" s="13">
        <v>0.0</v>
      </c>
      <c r="Q12" s="28">
        <f t="shared" si="2"/>
        <v>0</v>
      </c>
      <c r="R12" s="22" t="str">
        <f t="shared" si="3"/>
        <v>≠</v>
      </c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8" t="s">
        <v>45</v>
      </c>
      <c r="C13" s="8" t="s">
        <v>116</v>
      </c>
      <c r="D13" s="8" t="s">
        <v>98</v>
      </c>
      <c r="E13" s="10">
        <f t="array" ref="E13">IFERROR(INDEX('Parâmetros'!$C$23:$C$27,MATCH(D13,'Parâmetros'!$B$23:$B$27,0)),"")</f>
        <v>7500</v>
      </c>
      <c r="F13" s="8" t="s">
        <v>57</v>
      </c>
      <c r="G13" s="32"/>
      <c r="H13" s="10">
        <v>7500.0</v>
      </c>
      <c r="I13" s="10">
        <f t="array" ref="I13">IFERROR(INDEX('Parâmetros'!$F$23:$F$27,MATCH(D13,'Parâmetros'!$B$23:$B$27,0)),"")</f>
        <v>2950</v>
      </c>
      <c r="J13" s="15">
        <f t="shared" si="1"/>
        <v>4550</v>
      </c>
      <c r="K13" s="32">
        <v>46265.0</v>
      </c>
      <c r="L13" s="10">
        <v>7500.0</v>
      </c>
      <c r="M13" s="32"/>
      <c r="N13" s="10"/>
      <c r="O13" s="32"/>
      <c r="P13" s="10"/>
      <c r="Q13" s="26">
        <f t="shared" si="2"/>
        <v>7500</v>
      </c>
      <c r="R13" s="16" t="str">
        <f t="shared" si="3"/>
        <v>OK</v>
      </c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18" t="s">
        <v>45</v>
      </c>
      <c r="C14" s="18" t="s">
        <v>120</v>
      </c>
      <c r="D14" s="18" t="s">
        <v>98</v>
      </c>
      <c r="E14" s="13">
        <f t="array" ref="E14">IFERROR(INDEX('Parâmetros'!$C$23:$C$27,MATCH(D14,'Parâmetros'!$B$23:$B$27,0)),"")</f>
        <v>7500</v>
      </c>
      <c r="F14" s="18" t="s">
        <v>57</v>
      </c>
      <c r="G14" s="19"/>
      <c r="H14" s="13">
        <v>7500.0</v>
      </c>
      <c r="I14" s="13">
        <f t="array" ref="I14">IFERROR(INDEX('Parâmetros'!$F$23:$F$27,MATCH(D14,'Parâmetros'!$B$23:$B$27,0)),"")</f>
        <v>2950</v>
      </c>
      <c r="J14" s="12">
        <f t="shared" si="1"/>
        <v>4550</v>
      </c>
      <c r="K14" s="19">
        <v>46275.0</v>
      </c>
      <c r="L14" s="13">
        <v>7500.0</v>
      </c>
      <c r="M14" s="19"/>
      <c r="N14" s="13"/>
      <c r="O14" s="19"/>
      <c r="P14" s="13"/>
      <c r="Q14" s="28">
        <f t="shared" si="2"/>
        <v>7500</v>
      </c>
      <c r="R14" s="22" t="str">
        <f t="shared" si="3"/>
        <v>OK</v>
      </c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8" t="s">
        <v>45</v>
      </c>
      <c r="C15" s="8" t="s">
        <v>124</v>
      </c>
      <c r="D15" s="8" t="s">
        <v>89</v>
      </c>
      <c r="E15" s="10">
        <f t="array" ref="E15">IFERROR(INDEX('Parâmetros'!$C$23:$C$27,MATCH(D15,'Parâmetros'!$B$23:$B$27,0)),"")</f>
        <v>11500</v>
      </c>
      <c r="F15" s="8" t="s">
        <v>57</v>
      </c>
      <c r="G15" s="32"/>
      <c r="H15" s="10">
        <v>11500.0</v>
      </c>
      <c r="I15" s="10">
        <f t="array" ref="I15">IFERROR(INDEX('Parâmetros'!$F$23:$F$27,MATCH(D15,'Parâmetros'!$B$23:$B$27,0)),"")</f>
        <v>3950</v>
      </c>
      <c r="J15" s="15">
        <f t="shared" si="1"/>
        <v>7550</v>
      </c>
      <c r="K15" s="32">
        <v>46255.0</v>
      </c>
      <c r="L15" s="10">
        <v>11500.0</v>
      </c>
      <c r="M15" s="32"/>
      <c r="N15" s="10"/>
      <c r="O15" s="32"/>
      <c r="P15" s="10"/>
      <c r="Q15" s="26">
        <f t="shared" si="2"/>
        <v>11500</v>
      </c>
      <c r="R15" s="16" t="str">
        <f t="shared" si="3"/>
        <v>OK</v>
      </c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8" t="s">
        <v>45</v>
      </c>
      <c r="C16" s="18" t="s">
        <v>126</v>
      </c>
      <c r="D16" s="18" t="s">
        <v>98</v>
      </c>
      <c r="E16" s="13">
        <f t="array" ref="E16">IFERROR(INDEX('Parâmetros'!$C$23:$C$27,MATCH(D16,'Parâmetros'!$B$23:$B$27,0)),"")</f>
        <v>7500</v>
      </c>
      <c r="F16" s="18" t="s">
        <v>57</v>
      </c>
      <c r="G16" s="19"/>
      <c r="H16" s="13">
        <v>7500.0</v>
      </c>
      <c r="I16" s="13">
        <f t="array" ref="I16">IFERROR(INDEX('Parâmetros'!$F$23:$F$27,MATCH(D16,'Parâmetros'!$B$23:$B$27,0)),"")</f>
        <v>2950</v>
      </c>
      <c r="J16" s="12">
        <f t="shared" si="1"/>
        <v>4550</v>
      </c>
      <c r="K16" s="19">
        <v>46244.0</v>
      </c>
      <c r="L16" s="13">
        <v>3750.0</v>
      </c>
      <c r="M16" s="19">
        <v>46275.0</v>
      </c>
      <c r="N16" s="13">
        <v>3750.0</v>
      </c>
      <c r="O16" s="19"/>
      <c r="P16" s="13"/>
      <c r="Q16" s="28">
        <f t="shared" si="2"/>
        <v>7500</v>
      </c>
      <c r="R16" s="22" t="str">
        <f t="shared" si="3"/>
        <v>OK</v>
      </c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8" t="s">
        <v>109</v>
      </c>
      <c r="C17" s="8" t="s">
        <v>129</v>
      </c>
      <c r="D17" s="8" t="s">
        <v>98</v>
      </c>
      <c r="E17" s="10">
        <f t="array" ref="E17">IFERROR(INDEX('Parâmetros'!$C$23:$C$27,MATCH(D17,'Parâmetros'!$B$23:$B$27,0)),"")</f>
        <v>7500</v>
      </c>
      <c r="F17" s="8" t="s">
        <v>57</v>
      </c>
      <c r="G17" s="32"/>
      <c r="H17" s="10">
        <v>7500.0</v>
      </c>
      <c r="I17" s="10">
        <f t="array" ref="I17">IFERROR(INDEX('Parâmetros'!$F$23:$F$27,MATCH(D17,'Parâmetros'!$B$23:$B$27,0)),"")</f>
        <v>2950</v>
      </c>
      <c r="J17" s="15">
        <f t="shared" si="1"/>
        <v>4550</v>
      </c>
      <c r="K17" s="32">
        <v>46305.0</v>
      </c>
      <c r="L17" s="10">
        <v>7500.0</v>
      </c>
      <c r="M17" s="32"/>
      <c r="N17" s="10"/>
      <c r="O17" s="32"/>
      <c r="P17" s="10"/>
      <c r="Q17" s="26">
        <f t="shared" si="2"/>
        <v>7500</v>
      </c>
      <c r="R17" s="16" t="str">
        <f t="shared" si="3"/>
        <v>OK</v>
      </c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18" t="s">
        <v>109</v>
      </c>
      <c r="C18" s="18" t="s">
        <v>132</v>
      </c>
      <c r="D18" s="18" t="s">
        <v>98</v>
      </c>
      <c r="E18" s="13">
        <f t="array" ref="E18">IFERROR(INDEX('Parâmetros'!$C$23:$C$27,MATCH(D18,'Parâmetros'!$B$23:$B$27,0)),"")</f>
        <v>7500</v>
      </c>
      <c r="F18" s="18" t="s">
        <v>57</v>
      </c>
      <c r="G18" s="19"/>
      <c r="H18" s="10">
        <v>7500.0</v>
      </c>
      <c r="I18" s="13">
        <f t="array" ref="I18">IFERROR(INDEX('Parâmetros'!$F$23:$F$27,MATCH(D18,'Parâmetros'!$B$23:$B$27,0)),"")</f>
        <v>2950</v>
      </c>
      <c r="J18" s="12">
        <f t="shared" si="1"/>
        <v>4550</v>
      </c>
      <c r="K18" s="19">
        <v>46275.0</v>
      </c>
      <c r="L18" s="13">
        <v>7500.0</v>
      </c>
      <c r="M18" s="19"/>
      <c r="N18" s="13"/>
      <c r="O18" s="19"/>
      <c r="P18" s="13"/>
      <c r="Q18" s="28">
        <f t="shared" si="2"/>
        <v>7500</v>
      </c>
      <c r="R18" s="22" t="str">
        <f t="shared" si="3"/>
        <v>OK</v>
      </c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8" t="s">
        <v>109</v>
      </c>
      <c r="C19" s="8" t="s">
        <v>133</v>
      </c>
      <c r="D19" s="8" t="s">
        <v>98</v>
      </c>
      <c r="E19" s="10">
        <f t="array" ref="E19">IFERROR(INDEX('Parâmetros'!$C$23:$C$27,MATCH(D19,'Parâmetros'!$B$23:$B$27,0)),"")</f>
        <v>7500</v>
      </c>
      <c r="F19" s="8" t="s">
        <v>57</v>
      </c>
      <c r="G19" s="32"/>
      <c r="H19" s="10">
        <v>7500.0</v>
      </c>
      <c r="I19" s="10">
        <f t="array" ref="I19">IFERROR(INDEX('Parâmetros'!$F$23:$F$27,MATCH(D19,'Parâmetros'!$B$23:$B$27,0)),"")</f>
        <v>2950</v>
      </c>
      <c r="J19" s="15">
        <f t="shared" si="1"/>
        <v>4550</v>
      </c>
      <c r="K19" s="32">
        <v>46266.0</v>
      </c>
      <c r="L19" s="10">
        <v>7500.0</v>
      </c>
      <c r="M19" s="32"/>
      <c r="N19" s="10"/>
      <c r="O19" s="32"/>
      <c r="P19" s="10"/>
      <c r="Q19" s="26">
        <f t="shared" si="2"/>
        <v>7500</v>
      </c>
      <c r="R19" s="16" t="str">
        <f t="shared" si="3"/>
        <v>OK</v>
      </c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18" t="s">
        <v>109</v>
      </c>
      <c r="C20" s="18" t="s">
        <v>140</v>
      </c>
      <c r="D20" s="18" t="s">
        <v>98</v>
      </c>
      <c r="E20" s="13">
        <f t="array" ref="E20">IFERROR(INDEX('Parâmetros'!$C$23:$C$27,MATCH(D20,'Parâmetros'!$B$23:$B$27,0)),"")</f>
        <v>7500</v>
      </c>
      <c r="F20" s="18" t="s">
        <v>57</v>
      </c>
      <c r="G20" s="19"/>
      <c r="H20" s="13">
        <v>7500.0</v>
      </c>
      <c r="I20" s="13">
        <f t="array" ref="I20">IFERROR(INDEX('Parâmetros'!$F$23:$F$27,MATCH(D20,'Parâmetros'!$B$23:$B$27,0)),"")</f>
        <v>2950</v>
      </c>
      <c r="J20" s="12">
        <f t="shared" si="1"/>
        <v>4550</v>
      </c>
      <c r="K20" s="19">
        <v>46290.0</v>
      </c>
      <c r="L20" s="13">
        <v>7500.0</v>
      </c>
      <c r="M20" s="19"/>
      <c r="N20" s="13"/>
      <c r="O20" s="19"/>
      <c r="P20" s="13"/>
      <c r="Q20" s="28">
        <f t="shared" si="2"/>
        <v>7500</v>
      </c>
      <c r="R20" s="22" t="str">
        <f t="shared" si="3"/>
        <v>OK</v>
      </c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8" t="s">
        <v>45</v>
      </c>
      <c r="C21" s="8" t="s">
        <v>145</v>
      </c>
      <c r="D21" s="8" t="s">
        <v>89</v>
      </c>
      <c r="E21" s="10">
        <f t="array" ref="E21">IFERROR(INDEX('Parâmetros'!$C$23:$C$27,MATCH(D21,'Parâmetros'!$B$23:$B$27,0)),"")</f>
        <v>11500</v>
      </c>
      <c r="F21" s="8" t="s">
        <v>57</v>
      </c>
      <c r="G21" s="32"/>
      <c r="H21" s="10">
        <v>11500.0</v>
      </c>
      <c r="I21" s="10">
        <f t="array" ref="I21">IFERROR(INDEX('Parâmetros'!$F$23:$F$27,MATCH(D21,'Parâmetros'!$B$23:$B$27,0)),"")</f>
        <v>3950</v>
      </c>
      <c r="J21" s="15">
        <f t="shared" si="1"/>
        <v>7550</v>
      </c>
      <c r="K21" s="32">
        <v>46280.0</v>
      </c>
      <c r="L21" s="10">
        <v>11500.0</v>
      </c>
      <c r="M21" s="32"/>
      <c r="N21" s="10"/>
      <c r="O21" s="32"/>
      <c r="P21" s="10"/>
      <c r="Q21" s="26">
        <f t="shared" si="2"/>
        <v>11500</v>
      </c>
      <c r="R21" s="16" t="str">
        <f t="shared" si="3"/>
        <v>OK</v>
      </c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8" t="s">
        <v>45</v>
      </c>
      <c r="C22" s="18" t="s">
        <v>146</v>
      </c>
      <c r="D22" s="18" t="s">
        <v>89</v>
      </c>
      <c r="E22" s="13">
        <f t="array" ref="E22">IFERROR(INDEX('Parâmetros'!$C$23:$C$27,MATCH(D22,'Parâmetros'!$B$23:$B$27,0)),"")</f>
        <v>11500</v>
      </c>
      <c r="F22" s="18" t="s">
        <v>57</v>
      </c>
      <c r="G22" s="19"/>
      <c r="H22" s="13">
        <v>11500.0</v>
      </c>
      <c r="I22" s="13">
        <f t="array" ref="I22">IFERROR(INDEX('Parâmetros'!$F$23:$F$27,MATCH(D22,'Parâmetros'!$B$23:$B$27,0)),"")</f>
        <v>3950</v>
      </c>
      <c r="J22" s="12">
        <f t="shared" si="1"/>
        <v>7550</v>
      </c>
      <c r="K22" s="19"/>
      <c r="L22" s="13"/>
      <c r="M22" s="19"/>
      <c r="N22" s="13"/>
      <c r="O22" s="19"/>
      <c r="P22" s="13"/>
      <c r="Q22" s="28">
        <f t="shared" si="2"/>
        <v>0</v>
      </c>
      <c r="R22" s="22" t="str">
        <f t="shared" si="3"/>
        <v>≠</v>
      </c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8" t="s">
        <v>45</v>
      </c>
      <c r="C23" s="8" t="s">
        <v>147</v>
      </c>
      <c r="D23" s="8" t="s">
        <v>89</v>
      </c>
      <c r="E23" s="10">
        <v>11000.0</v>
      </c>
      <c r="F23" s="8" t="s">
        <v>57</v>
      </c>
      <c r="G23" s="32"/>
      <c r="H23" s="10">
        <v>11000.0</v>
      </c>
      <c r="I23" s="10">
        <f t="array" ref="I23">IFERROR(INDEX('Parâmetros'!$F$23:$F$27,MATCH(D23,'Parâmetros'!$B$23:$B$27,0)),"")</f>
        <v>3950</v>
      </c>
      <c r="J23" s="15">
        <f t="shared" si="1"/>
        <v>7050</v>
      </c>
      <c r="K23" s="32"/>
      <c r="L23" s="10"/>
      <c r="M23" s="32"/>
      <c r="N23" s="10"/>
      <c r="O23" s="32"/>
      <c r="P23" s="10"/>
      <c r="Q23" s="26">
        <f t="shared" si="2"/>
        <v>0</v>
      </c>
      <c r="R23" s="16" t="str">
        <f t="shared" si="3"/>
        <v>≠</v>
      </c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8" t="s">
        <v>45</v>
      </c>
      <c r="C24" s="18" t="s">
        <v>148</v>
      </c>
      <c r="D24" s="18" t="s">
        <v>98</v>
      </c>
      <c r="E24" s="13">
        <f t="array" ref="E24">IFERROR(INDEX('Parâmetros'!$C$23:$C$27,MATCH(D24,'Parâmetros'!$B$23:$B$27,0)),"")</f>
        <v>7500</v>
      </c>
      <c r="F24" s="8" t="s">
        <v>57</v>
      </c>
      <c r="G24" s="19"/>
      <c r="H24" s="13">
        <v>7500.0</v>
      </c>
      <c r="I24" s="13">
        <f t="array" ref="I24">IFERROR(INDEX('Parâmetros'!$F$23:$F$27,MATCH(D24,'Parâmetros'!$B$23:$B$27,0)),"")</f>
        <v>2950</v>
      </c>
      <c r="J24" s="12">
        <f t="shared" si="1"/>
        <v>4550</v>
      </c>
      <c r="K24" s="19">
        <v>46265.0</v>
      </c>
      <c r="L24" s="13">
        <v>7500.0</v>
      </c>
      <c r="M24" s="19"/>
      <c r="N24" s="13"/>
      <c r="O24" s="19"/>
      <c r="P24" s="13"/>
      <c r="Q24" s="28">
        <f t="shared" si="2"/>
        <v>7500</v>
      </c>
      <c r="R24" s="22" t="str">
        <f t="shared" si="3"/>
        <v>OK</v>
      </c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8" t="s">
        <v>45</v>
      </c>
      <c r="C25" s="8" t="s">
        <v>149</v>
      </c>
      <c r="D25" s="8" t="s">
        <v>98</v>
      </c>
      <c r="E25" s="10">
        <f t="array" ref="E25">IFERROR(INDEX('Parâmetros'!$C$23:$C$27,MATCH(D25,'Parâmetros'!$B$23:$B$27,0)),"")</f>
        <v>7500</v>
      </c>
      <c r="F25" s="8" t="s">
        <v>57</v>
      </c>
      <c r="G25" s="32"/>
      <c r="H25" s="13">
        <v>7500.0</v>
      </c>
      <c r="I25" s="10">
        <f t="array" ref="I25">IFERROR(INDEX('Parâmetros'!$F$23:$F$27,MATCH(D25,'Parâmetros'!$B$23:$B$27,0)),"")</f>
        <v>2950</v>
      </c>
      <c r="J25" s="15">
        <f t="shared" si="1"/>
        <v>4550</v>
      </c>
      <c r="K25" s="32"/>
      <c r="L25" s="10"/>
      <c r="M25" s="32"/>
      <c r="N25" s="10"/>
      <c r="O25" s="32"/>
      <c r="P25" s="10"/>
      <c r="Q25" s="26">
        <f t="shared" si="2"/>
        <v>0</v>
      </c>
      <c r="R25" s="16" t="str">
        <f t="shared" si="3"/>
        <v>≠</v>
      </c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8" t="s">
        <v>45</v>
      </c>
      <c r="C26" s="18" t="s">
        <v>150</v>
      </c>
      <c r="D26" s="18" t="s">
        <v>151</v>
      </c>
      <c r="E26" s="13">
        <f t="array" ref="E26">IFERROR(INDEX('Parâmetros'!$C$23:$C$27,MATCH(D26,'Parâmetros'!$B$23:$B$27,0)),"")</f>
        <v>4000</v>
      </c>
      <c r="F26" s="8" t="s">
        <v>57</v>
      </c>
      <c r="G26" s="19"/>
      <c r="H26" s="13">
        <v>4000.0</v>
      </c>
      <c r="I26" s="13">
        <f t="array" ref="I26">IFERROR(INDEX('Parâmetros'!$F$23:$F$27,MATCH(D26,'Parâmetros'!$B$23:$B$27,0)),"")</f>
        <v>1500</v>
      </c>
      <c r="J26" s="12">
        <f t="shared" si="1"/>
        <v>2500</v>
      </c>
      <c r="K26" s="19">
        <v>46265.0</v>
      </c>
      <c r="L26" s="13">
        <v>4000.0</v>
      </c>
      <c r="M26" s="19"/>
      <c r="N26" s="13"/>
      <c r="O26" s="19"/>
      <c r="P26" s="13"/>
      <c r="Q26" s="28">
        <f t="shared" si="2"/>
        <v>4000</v>
      </c>
      <c r="R26" s="22" t="str">
        <f t="shared" si="3"/>
        <v>OK</v>
      </c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8" t="s">
        <v>45</v>
      </c>
      <c r="C27" s="8" t="s">
        <v>157</v>
      </c>
      <c r="D27" s="8" t="s">
        <v>151</v>
      </c>
      <c r="E27" s="10">
        <f t="array" ref="E27">IFERROR(INDEX('Parâmetros'!$C$23:$C$27,MATCH(D27,'Parâmetros'!$B$23:$B$27,0)),"")</f>
        <v>4000</v>
      </c>
      <c r="F27" s="8" t="s">
        <v>57</v>
      </c>
      <c r="G27" s="32"/>
      <c r="H27" s="13">
        <v>4000.0</v>
      </c>
      <c r="I27" s="10">
        <f t="array" ref="I27">IFERROR(INDEX('Parâmetros'!$F$23:$F$27,MATCH(D27,'Parâmetros'!$B$23:$B$27,0)),"")</f>
        <v>1500</v>
      </c>
      <c r="J27" s="15">
        <f t="shared" si="1"/>
        <v>2500</v>
      </c>
      <c r="K27" s="32">
        <v>46265.0</v>
      </c>
      <c r="L27" s="10">
        <v>4000.0</v>
      </c>
      <c r="M27" s="32"/>
      <c r="N27" s="10"/>
      <c r="O27" s="32"/>
      <c r="P27" s="10"/>
      <c r="Q27" s="26">
        <f t="shared" si="2"/>
        <v>4000</v>
      </c>
      <c r="R27" s="16" t="str">
        <f t="shared" si="3"/>
        <v>OK</v>
      </c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8" t="s">
        <v>45</v>
      </c>
      <c r="C28" s="8" t="s">
        <v>158</v>
      </c>
      <c r="D28" s="8" t="s">
        <v>151</v>
      </c>
      <c r="E28" s="10">
        <f t="array" ref="E28">IFERROR(INDEX('Parâmetros'!$C$23:$C$27,MATCH(D28,'Parâmetros'!$B$23:$B$27,0)),"")</f>
        <v>4000</v>
      </c>
      <c r="F28" s="8" t="s">
        <v>57</v>
      </c>
      <c r="G28" s="32"/>
      <c r="H28" s="13">
        <v>4000.0</v>
      </c>
      <c r="I28" s="10">
        <f t="array" ref="I28">IFERROR(INDEX('Parâmetros'!$F$23:$F$27,MATCH(D28,'Parâmetros'!$B$23:$B$27,0)),"")</f>
        <v>1500</v>
      </c>
      <c r="J28" s="15">
        <f t="shared" si="1"/>
        <v>2500</v>
      </c>
      <c r="K28" s="32"/>
      <c r="L28" s="10"/>
      <c r="M28" s="32"/>
      <c r="N28" s="10"/>
      <c r="O28" s="32"/>
      <c r="P28" s="10"/>
      <c r="Q28" s="26">
        <f t="shared" si="2"/>
        <v>0</v>
      </c>
      <c r="R28" s="16" t="str">
        <f t="shared" si="3"/>
        <v>≠</v>
      </c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8" t="s">
        <v>45</v>
      </c>
      <c r="C29" s="8" t="s">
        <v>159</v>
      </c>
      <c r="D29" s="8" t="s">
        <v>151</v>
      </c>
      <c r="E29" s="10">
        <f t="array" ref="E29">IFERROR(INDEX('Parâmetros'!$C$23:$C$27,MATCH(D29,'Parâmetros'!$B$23:$B$27,0)),"")</f>
        <v>4000</v>
      </c>
      <c r="F29" s="8" t="s">
        <v>57</v>
      </c>
      <c r="G29" s="32"/>
      <c r="H29" s="13">
        <v>4000.0</v>
      </c>
      <c r="I29" s="10">
        <f t="array" ref="I29">IFERROR(INDEX('Parâmetros'!$F$23:$F$27,MATCH(D29,'Parâmetros'!$B$23:$B$27,0)),"")</f>
        <v>1500</v>
      </c>
      <c r="J29" s="15">
        <f t="shared" si="1"/>
        <v>2500</v>
      </c>
      <c r="K29" s="32">
        <v>46285.0</v>
      </c>
      <c r="L29" s="10">
        <v>2000.0</v>
      </c>
      <c r="M29" s="32">
        <v>46315.0</v>
      </c>
      <c r="N29" s="10"/>
      <c r="O29" s="32"/>
      <c r="P29" s="10"/>
      <c r="Q29" s="26">
        <f t="shared" si="2"/>
        <v>2000</v>
      </c>
      <c r="R29" s="16" t="str">
        <f t="shared" si="3"/>
        <v>≠</v>
      </c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8"/>
      <c r="C30" s="8"/>
      <c r="D30" s="8"/>
      <c r="E30" s="10" t="str">
        <f t="array" ref="E30">IFERROR(INDEX('Parâmetros'!$C$23:$C$27,MATCH(D30,'Parâmetros'!$B$23:$B$27,0)),"")</f>
        <v/>
      </c>
      <c r="F30" s="8"/>
      <c r="G30" s="32"/>
      <c r="H30" s="10"/>
      <c r="I30" s="10" t="str">
        <f t="array" ref="I30">IFERROR(INDEX('Parâmetros'!$F$23:$F$27,MATCH(D30,'Parâmetros'!$B$23:$B$27,0)),"")</f>
        <v/>
      </c>
      <c r="J30" s="15" t="str">
        <f t="shared" si="1"/>
        <v/>
      </c>
      <c r="K30" s="32"/>
      <c r="L30" s="10"/>
      <c r="M30" s="32"/>
      <c r="N30" s="10"/>
      <c r="O30" s="32"/>
      <c r="P30" s="10"/>
      <c r="Q30" s="26">
        <f t="shared" si="2"/>
        <v>0</v>
      </c>
      <c r="R30" s="16" t="str">
        <f t="shared" si="3"/>
        <v/>
      </c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8"/>
      <c r="C31" s="8"/>
      <c r="D31" s="8"/>
      <c r="E31" s="10" t="str">
        <f t="array" ref="E31">IFERROR(INDEX('Parâmetros'!$C$23:$C$27,MATCH(D31,'Parâmetros'!$B$23:$B$27,0)),"")</f>
        <v/>
      </c>
      <c r="F31" s="8"/>
      <c r="G31" s="32"/>
      <c r="H31" s="10"/>
      <c r="I31" s="10" t="str">
        <f t="array" ref="I31">IFERROR(INDEX('Parâmetros'!$F$23:$F$27,MATCH(D31,'Parâmetros'!$B$23:$B$27,0)),"")</f>
        <v/>
      </c>
      <c r="J31" s="15" t="str">
        <f t="shared" si="1"/>
        <v/>
      </c>
      <c r="K31" s="32"/>
      <c r="L31" s="10"/>
      <c r="M31" s="32"/>
      <c r="N31" s="10"/>
      <c r="O31" s="32"/>
      <c r="P31" s="10"/>
      <c r="Q31" s="26">
        <f t="shared" si="2"/>
        <v>0</v>
      </c>
      <c r="R31" s="16" t="str">
        <f t="shared" si="3"/>
        <v/>
      </c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8"/>
      <c r="C32" s="8"/>
      <c r="D32" s="8"/>
      <c r="E32" s="10" t="str">
        <f t="array" ref="E32">IFERROR(INDEX('Parâmetros'!$C$23:$C$27,MATCH(D32,'Parâmetros'!$B$23:$B$27,0)),"")</f>
        <v/>
      </c>
      <c r="F32" s="8"/>
      <c r="G32" s="32"/>
      <c r="H32" s="10"/>
      <c r="I32" s="10" t="str">
        <f t="array" ref="I32">IFERROR(INDEX('Parâmetros'!$F$23:$F$27,MATCH(D32,'Parâmetros'!$B$23:$B$27,0)),"")</f>
        <v/>
      </c>
      <c r="J32" s="15" t="str">
        <f t="shared" si="1"/>
        <v/>
      </c>
      <c r="K32" s="32"/>
      <c r="L32" s="10"/>
      <c r="M32" s="32"/>
      <c r="N32" s="10"/>
      <c r="O32" s="32"/>
      <c r="P32" s="10"/>
      <c r="Q32" s="26">
        <f t="shared" si="2"/>
        <v>0</v>
      </c>
      <c r="R32" s="16" t="str">
        <f t="shared" si="3"/>
        <v/>
      </c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8"/>
      <c r="C33" s="8"/>
      <c r="D33" s="8"/>
      <c r="E33" s="10" t="str">
        <f t="array" ref="E33">IFERROR(INDEX('Parâmetros'!$C$23:$C$27,MATCH(D33,'Parâmetros'!$B$23:$B$27,0)),"")</f>
        <v/>
      </c>
      <c r="F33" s="8"/>
      <c r="G33" s="32"/>
      <c r="H33" s="10"/>
      <c r="I33" s="10"/>
      <c r="J33" s="15"/>
      <c r="K33" s="32"/>
      <c r="L33" s="10"/>
      <c r="M33" s="32"/>
      <c r="N33" s="10"/>
      <c r="O33" s="32"/>
      <c r="P33" s="10"/>
      <c r="Q33" s="26"/>
      <c r="R33" s="16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8"/>
      <c r="C34" s="8"/>
      <c r="D34" s="8"/>
      <c r="E34" s="10" t="str">
        <f t="array" ref="E34">IFERROR(INDEX('Parâmetros'!$C$23:$C$27,MATCH(D34,'Parâmetros'!$B$23:$B$27,0)),"")</f>
        <v/>
      </c>
      <c r="F34" s="8"/>
      <c r="G34" s="32"/>
      <c r="H34" s="10"/>
      <c r="I34" s="10"/>
      <c r="J34" s="15"/>
      <c r="K34" s="32"/>
      <c r="L34" s="10"/>
      <c r="M34" s="32"/>
      <c r="N34" s="10"/>
      <c r="O34" s="32"/>
      <c r="P34" s="10"/>
      <c r="Q34" s="26"/>
      <c r="R34" s="16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8"/>
      <c r="C35" s="18"/>
      <c r="D35" s="18"/>
      <c r="E35" s="13" t="str">
        <f t="array" ref="E35">IFERROR(INDEX('Parâmetros'!$C$23:$C$27,MATCH(D35,'Parâmetros'!$B$23:$B$27,0)),"")</f>
        <v/>
      </c>
      <c r="F35" s="18"/>
      <c r="G35" s="19"/>
      <c r="H35" s="13"/>
      <c r="I35" s="13" t="str">
        <f t="array" ref="I35">IFERROR(INDEX('Parâmetros'!$F$23:$F$27,MATCH(D35,'Parâmetros'!$B$23:$B$27,0)),"")</f>
        <v/>
      </c>
      <c r="J35" s="12" t="str">
        <f t="shared" ref="J35:J36" si="4">IF(H35="","",H35-I35)</f>
        <v/>
      </c>
      <c r="K35" s="19"/>
      <c r="L35" s="13"/>
      <c r="M35" s="19"/>
      <c r="N35" s="13"/>
      <c r="O35" s="19"/>
      <c r="P35" s="13"/>
      <c r="Q35" s="28">
        <f t="shared" ref="Q35:Q36" si="5">L35+N35+P35</f>
        <v>0</v>
      </c>
      <c r="R35" s="22" t="str">
        <f t="shared" ref="R35:R36" si="6">IF(H35="","",IF(ROUND(Q35-H35,2)=0,"OK","≠"))</f>
        <v/>
      </c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8"/>
      <c r="C36" s="8"/>
      <c r="D36" s="8"/>
      <c r="E36" s="10" t="str">
        <f t="array" ref="E36">IFERROR(INDEX('Parâmetros'!$C$23:$C$27,MATCH(D36,'Parâmetros'!$B$23:$B$27,0)),"")</f>
        <v/>
      </c>
      <c r="F36" s="8"/>
      <c r="G36" s="32"/>
      <c r="H36" s="10"/>
      <c r="I36" s="10" t="str">
        <f t="array" ref="I36">IFERROR(INDEX('Parâmetros'!$F$23:$F$27,MATCH(D36,'Parâmetros'!$B$23:$B$27,0)),"")</f>
        <v/>
      </c>
      <c r="J36" s="15" t="str">
        <f t="shared" si="4"/>
        <v/>
      </c>
      <c r="K36" s="32"/>
      <c r="L36" s="10"/>
      <c r="M36" s="32"/>
      <c r="N36" s="10"/>
      <c r="O36" s="32"/>
      <c r="P36" s="10"/>
      <c r="Q36" s="26">
        <f t="shared" si="5"/>
        <v>0</v>
      </c>
      <c r="R36" s="16" t="str">
        <f t="shared" si="6"/>
        <v/>
      </c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24" t="s">
        <v>172</v>
      </c>
      <c r="D38" s="1"/>
      <c r="E38" s="1"/>
      <c r="F38" s="1"/>
      <c r="G38" s="1"/>
      <c r="H38" s="25">
        <f>SUMIFS(H5:H36,F5:F36,"Fechado")</f>
        <v>212000</v>
      </c>
      <c r="I38" s="25">
        <f>SUMIFS(I5:I36,F5:F36,"Fechado")</f>
        <v>79900</v>
      </c>
      <c r="J38" s="25">
        <f>SUMIFS(J5:J36,F5:F36,"Fechado")</f>
        <v>132100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R2"/>
  </mergeCells>
  <dataValidations>
    <dataValidation type="list" allowBlank="1" sqref="F5:F36">
      <formula1>"Negociação,Fechado,Cancelado"</formula1>
    </dataValidation>
    <dataValidation type="list" allowBlank="1" sqref="D5:D36">
      <formula1>"Executivo,Bronze,Prata,Ouro,Patrocínio"</formula1>
    </dataValidation>
    <dataValidation type="list" allowBlank="1" sqref="B5:B36">
      <formula1>"Produção Jr,EESC Jr"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3.0"/>
    <col customWidth="1" min="3" max="3" width="30.0"/>
    <col customWidth="1" min="4" max="4" width="12.71"/>
    <col customWidth="1" min="5" max="5" width="9.0"/>
    <col customWidth="1" min="6" max="6" width="13.0"/>
    <col customWidth="1" min="7" max="7" width="9.0"/>
    <col customWidth="1" min="8" max="8" width="12.0"/>
    <col customWidth="1" min="9" max="9" width="9.0"/>
    <col customWidth="1" min="10" max="10" width="12.0"/>
    <col customWidth="1" min="11" max="11" width="9.0"/>
    <col customWidth="1" min="12" max="12" width="12.0"/>
    <col customWidth="1" min="13" max="13" width="9.0"/>
    <col customWidth="1" min="14" max="14" width="8.0"/>
    <col customWidth="1" min="15" max="15" width="30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5.5" customHeight="1">
      <c r="A2" s="1"/>
      <c r="B2" s="2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4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0.0" customHeight="1">
      <c r="A4" s="1"/>
      <c r="B4" s="5" t="s">
        <v>4</v>
      </c>
      <c r="C4" s="5" t="s">
        <v>3</v>
      </c>
      <c r="D4" s="5" t="s">
        <v>8</v>
      </c>
      <c r="E4" s="5" t="s">
        <v>11</v>
      </c>
      <c r="F4" s="5" t="s">
        <v>13</v>
      </c>
      <c r="G4" s="5" t="s">
        <v>16</v>
      </c>
      <c r="H4" s="5" t="s">
        <v>19</v>
      </c>
      <c r="I4" s="5" t="s">
        <v>21</v>
      </c>
      <c r="J4" s="5" t="s">
        <v>23</v>
      </c>
      <c r="K4" s="5" t="s">
        <v>25</v>
      </c>
      <c r="L4" s="5" t="s">
        <v>27</v>
      </c>
      <c r="M4" s="5" t="s">
        <v>29</v>
      </c>
      <c r="N4" s="5" t="s">
        <v>31</v>
      </c>
      <c r="O4" s="5" t="s">
        <v>34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8" t="s">
        <v>40</v>
      </c>
      <c r="C5" s="8" t="s">
        <v>41</v>
      </c>
      <c r="D5" s="8" t="s">
        <v>43</v>
      </c>
      <c r="E5" s="8" t="s">
        <v>44</v>
      </c>
      <c r="F5" s="10">
        <v>25257.0</v>
      </c>
      <c r="G5" s="11">
        <v>3.0</v>
      </c>
      <c r="H5" s="10">
        <v>16838.0</v>
      </c>
      <c r="I5" s="14">
        <f t="shared" ref="I5:I18" si="1">IF(F5=0,0,H5/F5)</f>
        <v>0.6666666667</v>
      </c>
      <c r="J5" s="10">
        <v>0.0</v>
      </c>
      <c r="K5" s="14">
        <f t="shared" ref="K5:K18" si="2">IF(F5=0,0,J5/F5)</f>
        <v>0</v>
      </c>
      <c r="L5" s="15">
        <f t="shared" ref="L5:L18" si="3">H5+J5</f>
        <v>16838</v>
      </c>
      <c r="M5" s="14">
        <f t="shared" ref="M5:M18" si="4">IF(F5=0,0,L5/F5)</f>
        <v>0.6666666667</v>
      </c>
      <c r="N5" s="16" t="str">
        <f t="shared" ref="N5:N18" si="5">IF(L5=0,"—",IF(ROUND(L5-F5,2)=0,"OK","parcial"))</f>
        <v>parcial</v>
      </c>
      <c r="O5" s="17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18" t="s">
        <v>40</v>
      </c>
      <c r="C6" s="18" t="s">
        <v>58</v>
      </c>
      <c r="D6" s="18" t="s">
        <v>60</v>
      </c>
      <c r="E6" s="18" t="s">
        <v>44</v>
      </c>
      <c r="F6" s="13">
        <v>1390.0</v>
      </c>
      <c r="G6" s="20">
        <v>1.0</v>
      </c>
      <c r="H6" s="13">
        <v>0.0</v>
      </c>
      <c r="I6" s="21">
        <f t="shared" si="1"/>
        <v>0</v>
      </c>
      <c r="J6" s="13">
        <v>0.0</v>
      </c>
      <c r="K6" s="21">
        <f t="shared" si="2"/>
        <v>0</v>
      </c>
      <c r="L6" s="12">
        <f t="shared" si="3"/>
        <v>0</v>
      </c>
      <c r="M6" s="21">
        <f t="shared" si="4"/>
        <v>0</v>
      </c>
      <c r="N6" s="22" t="str">
        <f t="shared" si="5"/>
        <v>—</v>
      </c>
      <c r="O6" s="23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8" t="s">
        <v>40</v>
      </c>
      <c r="C7" s="8" t="s">
        <v>65</v>
      </c>
      <c r="D7" s="8" t="s">
        <v>60</v>
      </c>
      <c r="E7" s="8" t="s">
        <v>44</v>
      </c>
      <c r="F7" s="10">
        <v>3250.0</v>
      </c>
      <c r="G7" s="11">
        <v>1.0</v>
      </c>
      <c r="H7" s="10">
        <v>0.0</v>
      </c>
      <c r="I7" s="14">
        <f t="shared" si="1"/>
        <v>0</v>
      </c>
      <c r="J7" s="10">
        <v>0.0</v>
      </c>
      <c r="K7" s="14">
        <f t="shared" si="2"/>
        <v>0</v>
      </c>
      <c r="L7" s="15">
        <f t="shared" si="3"/>
        <v>0</v>
      </c>
      <c r="M7" s="14">
        <f t="shared" si="4"/>
        <v>0</v>
      </c>
      <c r="N7" s="16" t="str">
        <f t="shared" si="5"/>
        <v>—</v>
      </c>
      <c r="O7" s="17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8" t="s">
        <v>40</v>
      </c>
      <c r="C8" s="18" t="s">
        <v>68</v>
      </c>
      <c r="D8" s="18" t="s">
        <v>60</v>
      </c>
      <c r="E8" s="18" t="s">
        <v>44</v>
      </c>
      <c r="F8" s="13">
        <v>2933.5</v>
      </c>
      <c r="G8" s="20">
        <v>1.0</v>
      </c>
      <c r="H8" s="13">
        <v>0.0</v>
      </c>
      <c r="I8" s="21">
        <f t="shared" si="1"/>
        <v>0</v>
      </c>
      <c r="J8" s="13">
        <v>0.0</v>
      </c>
      <c r="K8" s="21">
        <f t="shared" si="2"/>
        <v>0</v>
      </c>
      <c r="L8" s="12">
        <f t="shared" si="3"/>
        <v>0</v>
      </c>
      <c r="M8" s="21">
        <f t="shared" si="4"/>
        <v>0</v>
      </c>
      <c r="N8" s="22" t="str">
        <f t="shared" si="5"/>
        <v>—</v>
      </c>
      <c r="O8" s="23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8" t="s">
        <v>40</v>
      </c>
      <c r="C9" s="8" t="s">
        <v>69</v>
      </c>
      <c r="D9" s="8" t="s">
        <v>60</v>
      </c>
      <c r="E9" s="8" t="s">
        <v>44</v>
      </c>
      <c r="F9" s="10">
        <v>4442.5</v>
      </c>
      <c r="G9" s="11">
        <v>1.0</v>
      </c>
      <c r="H9" s="10">
        <v>0.0</v>
      </c>
      <c r="I9" s="14">
        <f t="shared" si="1"/>
        <v>0</v>
      </c>
      <c r="J9" s="10">
        <v>0.0</v>
      </c>
      <c r="K9" s="14">
        <f t="shared" si="2"/>
        <v>0</v>
      </c>
      <c r="L9" s="15">
        <f t="shared" si="3"/>
        <v>0</v>
      </c>
      <c r="M9" s="14">
        <f t="shared" si="4"/>
        <v>0</v>
      </c>
      <c r="N9" s="16" t="str">
        <f t="shared" si="5"/>
        <v>—</v>
      </c>
      <c r="O9" s="17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8" t="s">
        <v>40</v>
      </c>
      <c r="C10" s="18" t="s">
        <v>71</v>
      </c>
      <c r="D10" s="18" t="s">
        <v>60</v>
      </c>
      <c r="E10" s="18" t="s">
        <v>44</v>
      </c>
      <c r="F10" s="13">
        <v>10453.5</v>
      </c>
      <c r="G10" s="20">
        <v>1.0</v>
      </c>
      <c r="H10" s="13">
        <v>0.0</v>
      </c>
      <c r="I10" s="21">
        <f t="shared" si="1"/>
        <v>0</v>
      </c>
      <c r="J10" s="13">
        <v>0.0</v>
      </c>
      <c r="K10" s="21">
        <f t="shared" si="2"/>
        <v>0</v>
      </c>
      <c r="L10" s="12">
        <f t="shared" si="3"/>
        <v>0</v>
      </c>
      <c r="M10" s="21">
        <f t="shared" si="4"/>
        <v>0</v>
      </c>
      <c r="N10" s="22" t="str">
        <f t="shared" si="5"/>
        <v>—</v>
      </c>
      <c r="O10" s="23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8" t="s">
        <v>40</v>
      </c>
      <c r="C11" s="8" t="s">
        <v>73</v>
      </c>
      <c r="D11" s="8" t="s">
        <v>60</v>
      </c>
      <c r="E11" s="8" t="s">
        <v>44</v>
      </c>
      <c r="F11" s="10">
        <v>8685.5</v>
      </c>
      <c r="G11" s="11">
        <v>1.0</v>
      </c>
      <c r="H11" s="10">
        <v>0.0</v>
      </c>
      <c r="I11" s="14">
        <f t="shared" si="1"/>
        <v>0</v>
      </c>
      <c r="J11" s="10">
        <v>0.0</v>
      </c>
      <c r="K11" s="14">
        <f t="shared" si="2"/>
        <v>0</v>
      </c>
      <c r="L11" s="15">
        <f t="shared" si="3"/>
        <v>0</v>
      </c>
      <c r="M11" s="14">
        <f t="shared" si="4"/>
        <v>0</v>
      </c>
      <c r="N11" s="16" t="str">
        <f t="shared" si="5"/>
        <v>—</v>
      </c>
      <c r="O11" s="17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8" t="s">
        <v>74</v>
      </c>
      <c r="C12" s="18" t="s">
        <v>75</v>
      </c>
      <c r="D12" s="18" t="s">
        <v>60</v>
      </c>
      <c r="E12" s="18" t="s">
        <v>76</v>
      </c>
      <c r="F12" s="13">
        <v>400.0</v>
      </c>
      <c r="G12" s="20">
        <v>1.0</v>
      </c>
      <c r="H12" s="13">
        <v>0.0</v>
      </c>
      <c r="I12" s="21">
        <f t="shared" si="1"/>
        <v>0</v>
      </c>
      <c r="J12" s="13">
        <v>0.0</v>
      </c>
      <c r="K12" s="21">
        <f t="shared" si="2"/>
        <v>0</v>
      </c>
      <c r="L12" s="12">
        <f t="shared" si="3"/>
        <v>0</v>
      </c>
      <c r="M12" s="21">
        <f t="shared" si="4"/>
        <v>0</v>
      </c>
      <c r="N12" s="22" t="str">
        <f t="shared" si="5"/>
        <v>—</v>
      </c>
      <c r="O12" s="23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8" t="s">
        <v>74</v>
      </c>
      <c r="C13" s="8" t="s">
        <v>80</v>
      </c>
      <c r="D13" s="8" t="s">
        <v>60</v>
      </c>
      <c r="E13" s="8" t="s">
        <v>44</v>
      </c>
      <c r="F13" s="10">
        <v>2880.0</v>
      </c>
      <c r="G13" s="11">
        <v>6.0</v>
      </c>
      <c r="H13" s="10">
        <v>0.0</v>
      </c>
      <c r="I13" s="14">
        <f t="shared" si="1"/>
        <v>0</v>
      </c>
      <c r="J13" s="10">
        <v>0.0</v>
      </c>
      <c r="K13" s="14">
        <f t="shared" si="2"/>
        <v>0</v>
      </c>
      <c r="L13" s="15">
        <f t="shared" si="3"/>
        <v>0</v>
      </c>
      <c r="M13" s="14">
        <f t="shared" si="4"/>
        <v>0</v>
      </c>
      <c r="N13" s="16" t="str">
        <f t="shared" si="5"/>
        <v>—</v>
      </c>
      <c r="O13" s="17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18" t="s">
        <v>74</v>
      </c>
      <c r="C14" s="18" t="s">
        <v>112</v>
      </c>
      <c r="D14" s="18" t="s">
        <v>60</v>
      </c>
      <c r="E14" s="18" t="s">
        <v>76</v>
      </c>
      <c r="F14" s="13">
        <v>2280.0</v>
      </c>
      <c r="G14" s="20">
        <v>2.0</v>
      </c>
      <c r="H14" s="13">
        <v>2280.0</v>
      </c>
      <c r="I14" s="21">
        <f t="shared" si="1"/>
        <v>1</v>
      </c>
      <c r="J14" s="13">
        <v>0.0</v>
      </c>
      <c r="K14" s="21">
        <f t="shared" si="2"/>
        <v>0</v>
      </c>
      <c r="L14" s="12">
        <f t="shared" si="3"/>
        <v>2280</v>
      </c>
      <c r="M14" s="21">
        <f t="shared" si="4"/>
        <v>1</v>
      </c>
      <c r="N14" s="22" t="str">
        <f t="shared" si="5"/>
        <v>OK</v>
      </c>
      <c r="O14" s="23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8" t="s">
        <v>74</v>
      </c>
      <c r="C15" s="8" t="s">
        <v>114</v>
      </c>
      <c r="D15" s="8" t="s">
        <v>60</v>
      </c>
      <c r="E15" s="8" t="s">
        <v>76</v>
      </c>
      <c r="F15" s="10">
        <v>1500.0</v>
      </c>
      <c r="G15" s="11">
        <v>1.0</v>
      </c>
      <c r="H15" s="10">
        <v>0.0</v>
      </c>
      <c r="I15" s="14">
        <f t="shared" si="1"/>
        <v>0</v>
      </c>
      <c r="J15" s="10">
        <v>0.0</v>
      </c>
      <c r="K15" s="14">
        <f t="shared" si="2"/>
        <v>0</v>
      </c>
      <c r="L15" s="15">
        <f t="shared" si="3"/>
        <v>0</v>
      </c>
      <c r="M15" s="14">
        <f t="shared" si="4"/>
        <v>0</v>
      </c>
      <c r="N15" s="16" t="str">
        <f t="shared" si="5"/>
        <v>—</v>
      </c>
      <c r="O15" s="17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8" t="s">
        <v>74</v>
      </c>
      <c r="C16" s="18" t="s">
        <v>115</v>
      </c>
      <c r="D16" s="18" t="s">
        <v>60</v>
      </c>
      <c r="E16" s="18" t="s">
        <v>76</v>
      </c>
      <c r="F16" s="13">
        <v>300.0</v>
      </c>
      <c r="G16" s="20">
        <v>1.0</v>
      </c>
      <c r="H16" s="13">
        <v>0.0</v>
      </c>
      <c r="I16" s="21">
        <f t="shared" si="1"/>
        <v>0</v>
      </c>
      <c r="J16" s="13">
        <v>0.0</v>
      </c>
      <c r="K16" s="21">
        <f t="shared" si="2"/>
        <v>0</v>
      </c>
      <c r="L16" s="12">
        <f t="shared" si="3"/>
        <v>0</v>
      </c>
      <c r="M16" s="21">
        <f t="shared" si="4"/>
        <v>0</v>
      </c>
      <c r="N16" s="22" t="str">
        <f t="shared" si="5"/>
        <v>—</v>
      </c>
      <c r="O16" s="23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8" t="s">
        <v>74</v>
      </c>
      <c r="C17" s="8" t="s">
        <v>117</v>
      </c>
      <c r="D17" s="8" t="s">
        <v>60</v>
      </c>
      <c r="E17" s="8" t="s">
        <v>76</v>
      </c>
      <c r="F17" s="10">
        <v>130.0</v>
      </c>
      <c r="G17" s="11">
        <v>1.0</v>
      </c>
      <c r="H17" s="10">
        <v>0.0</v>
      </c>
      <c r="I17" s="14">
        <f t="shared" si="1"/>
        <v>0</v>
      </c>
      <c r="J17" s="10">
        <v>0.0</v>
      </c>
      <c r="K17" s="14">
        <f t="shared" si="2"/>
        <v>0</v>
      </c>
      <c r="L17" s="15">
        <f t="shared" si="3"/>
        <v>0</v>
      </c>
      <c r="M17" s="14">
        <f t="shared" si="4"/>
        <v>0</v>
      </c>
      <c r="N17" s="16" t="str">
        <f t="shared" si="5"/>
        <v>—</v>
      </c>
      <c r="O17" s="17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18" t="s">
        <v>74</v>
      </c>
      <c r="C18" s="18" t="s">
        <v>118</v>
      </c>
      <c r="D18" s="18" t="s">
        <v>60</v>
      </c>
      <c r="E18" s="18" t="s">
        <v>76</v>
      </c>
      <c r="F18" s="13">
        <v>1779.23</v>
      </c>
      <c r="G18" s="20">
        <v>1.0</v>
      </c>
      <c r="H18" s="13">
        <v>1779.23</v>
      </c>
      <c r="I18" s="21">
        <f t="shared" si="1"/>
        <v>1</v>
      </c>
      <c r="J18" s="13">
        <v>0.0</v>
      </c>
      <c r="K18" s="21">
        <f t="shared" si="2"/>
        <v>0</v>
      </c>
      <c r="L18" s="12">
        <f t="shared" si="3"/>
        <v>1779.23</v>
      </c>
      <c r="M18" s="21">
        <f t="shared" si="4"/>
        <v>1</v>
      </c>
      <c r="N18" s="22" t="str">
        <f t="shared" si="5"/>
        <v>OK</v>
      </c>
      <c r="O18" s="23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8" t="s">
        <v>74</v>
      </c>
      <c r="C19" s="8" t="s">
        <v>119</v>
      </c>
      <c r="D19" s="8" t="s">
        <v>43</v>
      </c>
      <c r="E19" s="8" t="s">
        <v>76</v>
      </c>
      <c r="F19" s="10">
        <v>4375.41</v>
      </c>
      <c r="G19" s="11">
        <v>2.0</v>
      </c>
      <c r="H19" s="10">
        <v>4375.41</v>
      </c>
      <c r="I19" s="14"/>
      <c r="J19" s="10"/>
      <c r="K19" s="14"/>
      <c r="L19" s="15">
        <v>4375.41</v>
      </c>
      <c r="M19" s="14"/>
      <c r="N19" s="16" t="s">
        <v>121</v>
      </c>
      <c r="O19" s="17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8" t="s">
        <v>74</v>
      </c>
      <c r="C20" s="8" t="s">
        <v>122</v>
      </c>
      <c r="D20" s="8" t="s">
        <v>60</v>
      </c>
      <c r="E20" s="8" t="s">
        <v>76</v>
      </c>
      <c r="F20" s="10">
        <v>1800.0</v>
      </c>
      <c r="G20" s="11">
        <v>2.0</v>
      </c>
      <c r="H20" s="10">
        <v>900.0</v>
      </c>
      <c r="I20" s="14"/>
      <c r="J20" s="10"/>
      <c r="K20" s="14"/>
      <c r="L20" s="15">
        <v>900.0</v>
      </c>
      <c r="M20" s="14">
        <f t="shared" ref="M20:M31" si="6">IF(F20=0,0,L20/F20)</f>
        <v>0.5</v>
      </c>
      <c r="N20" s="16"/>
      <c r="O20" s="17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8" t="s">
        <v>74</v>
      </c>
      <c r="C21" s="8" t="s">
        <v>123</v>
      </c>
      <c r="D21" s="8" t="s">
        <v>60</v>
      </c>
      <c r="E21" s="8" t="s">
        <v>76</v>
      </c>
      <c r="F21" s="10">
        <v>5.0</v>
      </c>
      <c r="G21" s="11">
        <v>1.0</v>
      </c>
      <c r="H21" s="10">
        <v>0.0</v>
      </c>
      <c r="I21" s="14">
        <f t="shared" ref="I21:I31" si="7">IF(F21=0,0,H21/F21)</f>
        <v>0</v>
      </c>
      <c r="J21" s="10">
        <v>0.0</v>
      </c>
      <c r="K21" s="14">
        <f t="shared" ref="K21:K31" si="8">IF(F21=0,0,J21/F21)</f>
        <v>0</v>
      </c>
      <c r="L21" s="15">
        <f t="shared" ref="L21:L31" si="9">H21+J21</f>
        <v>0</v>
      </c>
      <c r="M21" s="14">
        <f t="shared" si="6"/>
        <v>0</v>
      </c>
      <c r="N21" s="16" t="str">
        <f t="shared" ref="N21:N31" si="10">IF(L21=0,"—",IF(ROUND(L21-F21,2)=0,"OK","parcial"))</f>
        <v>—</v>
      </c>
      <c r="O21" s="17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18" t="s">
        <v>74</v>
      </c>
      <c r="C22" s="18" t="s">
        <v>125</v>
      </c>
      <c r="D22" s="18" t="s">
        <v>60</v>
      </c>
      <c r="E22" s="18" t="s">
        <v>76</v>
      </c>
      <c r="F22" s="13">
        <v>40.0</v>
      </c>
      <c r="G22" s="20">
        <v>1.0</v>
      </c>
      <c r="H22" s="13">
        <v>0.0</v>
      </c>
      <c r="I22" s="21">
        <f t="shared" si="7"/>
        <v>0</v>
      </c>
      <c r="J22" s="13">
        <v>0.0</v>
      </c>
      <c r="K22" s="21">
        <f t="shared" si="8"/>
        <v>0</v>
      </c>
      <c r="L22" s="12">
        <f t="shared" si="9"/>
        <v>0</v>
      </c>
      <c r="M22" s="21">
        <f t="shared" si="6"/>
        <v>0</v>
      </c>
      <c r="N22" s="22" t="str">
        <f t="shared" si="10"/>
        <v>—</v>
      </c>
      <c r="O22" s="23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8" t="s">
        <v>74</v>
      </c>
      <c r="C23" s="8" t="s">
        <v>95</v>
      </c>
      <c r="D23" s="8" t="s">
        <v>60</v>
      </c>
      <c r="E23" s="8" t="s">
        <v>76</v>
      </c>
      <c r="F23" s="10">
        <v>480.0</v>
      </c>
      <c r="G23" s="11">
        <v>1.0</v>
      </c>
      <c r="H23" s="10">
        <v>0.0</v>
      </c>
      <c r="I23" s="14">
        <f t="shared" si="7"/>
        <v>0</v>
      </c>
      <c r="J23" s="10">
        <v>0.0</v>
      </c>
      <c r="K23" s="14">
        <f t="shared" si="8"/>
        <v>0</v>
      </c>
      <c r="L23" s="15">
        <f t="shared" si="9"/>
        <v>0</v>
      </c>
      <c r="M23" s="14">
        <f t="shared" si="6"/>
        <v>0</v>
      </c>
      <c r="N23" s="16" t="str">
        <f t="shared" si="10"/>
        <v>—</v>
      </c>
      <c r="O23" s="17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8" t="s">
        <v>74</v>
      </c>
      <c r="C24" s="18" t="s">
        <v>127</v>
      </c>
      <c r="D24" s="18" t="s">
        <v>60</v>
      </c>
      <c r="E24" s="18" t="s">
        <v>76</v>
      </c>
      <c r="F24" s="13">
        <v>2400.0</v>
      </c>
      <c r="G24" s="20">
        <v>1.0</v>
      </c>
      <c r="H24" s="13">
        <v>0.0</v>
      </c>
      <c r="I24" s="21">
        <f t="shared" si="7"/>
        <v>0</v>
      </c>
      <c r="J24" s="13">
        <v>0.0</v>
      </c>
      <c r="K24" s="21">
        <f t="shared" si="8"/>
        <v>0</v>
      </c>
      <c r="L24" s="12">
        <f t="shared" si="9"/>
        <v>0</v>
      </c>
      <c r="M24" s="21">
        <f t="shared" si="6"/>
        <v>0</v>
      </c>
      <c r="N24" s="22" t="str">
        <f t="shared" si="10"/>
        <v>—</v>
      </c>
      <c r="O24" s="23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8" t="s">
        <v>74</v>
      </c>
      <c r="C25" s="8" t="s">
        <v>128</v>
      </c>
      <c r="D25" s="8" t="s">
        <v>60</v>
      </c>
      <c r="E25" s="8" t="s">
        <v>76</v>
      </c>
      <c r="F25" s="10">
        <v>1000.0</v>
      </c>
      <c r="G25" s="11">
        <v>1.0</v>
      </c>
      <c r="H25" s="10">
        <v>0.0</v>
      </c>
      <c r="I25" s="14">
        <f t="shared" si="7"/>
        <v>0</v>
      </c>
      <c r="J25" s="10">
        <v>0.0</v>
      </c>
      <c r="K25" s="14">
        <f t="shared" si="8"/>
        <v>0</v>
      </c>
      <c r="L25" s="15">
        <f t="shared" si="9"/>
        <v>0</v>
      </c>
      <c r="M25" s="14">
        <f t="shared" si="6"/>
        <v>0</v>
      </c>
      <c r="N25" s="16" t="str">
        <f t="shared" si="10"/>
        <v>—</v>
      </c>
      <c r="O25" s="17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8" t="s">
        <v>74</v>
      </c>
      <c r="C26" s="18" t="s">
        <v>130</v>
      </c>
      <c r="D26" s="18" t="s">
        <v>43</v>
      </c>
      <c r="E26" s="18" t="s">
        <v>76</v>
      </c>
      <c r="F26" s="13">
        <v>921.01</v>
      </c>
      <c r="G26" s="20">
        <v>1.0</v>
      </c>
      <c r="H26" s="13">
        <v>921.01</v>
      </c>
      <c r="I26" s="21">
        <f t="shared" si="7"/>
        <v>1</v>
      </c>
      <c r="J26" s="13"/>
      <c r="K26" s="21">
        <f t="shared" si="8"/>
        <v>0</v>
      </c>
      <c r="L26" s="12">
        <f t="shared" si="9"/>
        <v>921.01</v>
      </c>
      <c r="M26" s="21">
        <f t="shared" si="6"/>
        <v>1</v>
      </c>
      <c r="N26" s="22" t="str">
        <f t="shared" si="10"/>
        <v>OK</v>
      </c>
      <c r="O26" s="23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8" t="s">
        <v>74</v>
      </c>
      <c r="C27" s="8" t="s">
        <v>131</v>
      </c>
      <c r="D27" s="8" t="s">
        <v>43</v>
      </c>
      <c r="E27" s="8" t="s">
        <v>76</v>
      </c>
      <c r="F27" s="10">
        <v>213.21</v>
      </c>
      <c r="G27" s="11">
        <v>1.0</v>
      </c>
      <c r="H27" s="10"/>
      <c r="I27" s="14">
        <f t="shared" si="7"/>
        <v>0</v>
      </c>
      <c r="J27" s="10">
        <v>213.21</v>
      </c>
      <c r="K27" s="14">
        <f t="shared" si="8"/>
        <v>1</v>
      </c>
      <c r="L27" s="15">
        <f t="shared" si="9"/>
        <v>213.21</v>
      </c>
      <c r="M27" s="14">
        <f t="shared" si="6"/>
        <v>1</v>
      </c>
      <c r="N27" s="16" t="str">
        <f t="shared" si="10"/>
        <v>OK</v>
      </c>
      <c r="O27" s="17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8"/>
      <c r="C28" s="18"/>
      <c r="D28" s="18"/>
      <c r="E28" s="18"/>
      <c r="F28" s="13"/>
      <c r="G28" s="20"/>
      <c r="H28" s="13"/>
      <c r="I28" s="21">
        <f t="shared" si="7"/>
        <v>0</v>
      </c>
      <c r="J28" s="13"/>
      <c r="K28" s="21">
        <f t="shared" si="8"/>
        <v>0</v>
      </c>
      <c r="L28" s="12">
        <f t="shared" si="9"/>
        <v>0</v>
      </c>
      <c r="M28" s="21">
        <f t="shared" si="6"/>
        <v>0</v>
      </c>
      <c r="N28" s="22" t="str">
        <f t="shared" si="10"/>
        <v>—</v>
      </c>
      <c r="O28" s="23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8"/>
      <c r="C29" s="8"/>
      <c r="D29" s="8"/>
      <c r="E29" s="8"/>
      <c r="F29" s="10"/>
      <c r="G29" s="11"/>
      <c r="H29" s="10"/>
      <c r="I29" s="14">
        <f t="shared" si="7"/>
        <v>0</v>
      </c>
      <c r="J29" s="10"/>
      <c r="K29" s="14">
        <f t="shared" si="8"/>
        <v>0</v>
      </c>
      <c r="L29" s="15">
        <f t="shared" si="9"/>
        <v>0</v>
      </c>
      <c r="M29" s="14">
        <f t="shared" si="6"/>
        <v>0</v>
      </c>
      <c r="N29" s="16" t="str">
        <f t="shared" si="10"/>
        <v>—</v>
      </c>
      <c r="O29" s="17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8"/>
      <c r="C30" s="18"/>
      <c r="D30" s="18"/>
      <c r="E30" s="18"/>
      <c r="F30" s="13"/>
      <c r="G30" s="20"/>
      <c r="H30" s="13"/>
      <c r="I30" s="21">
        <f t="shared" si="7"/>
        <v>0</v>
      </c>
      <c r="J30" s="13"/>
      <c r="K30" s="21">
        <f t="shared" si="8"/>
        <v>0</v>
      </c>
      <c r="L30" s="12">
        <f t="shared" si="9"/>
        <v>0</v>
      </c>
      <c r="M30" s="21">
        <f t="shared" si="6"/>
        <v>0</v>
      </c>
      <c r="N30" s="22" t="str">
        <f t="shared" si="10"/>
        <v>—</v>
      </c>
      <c r="O30" s="23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8"/>
      <c r="C31" s="8"/>
      <c r="D31" s="8"/>
      <c r="E31" s="8"/>
      <c r="F31" s="10"/>
      <c r="G31" s="11"/>
      <c r="H31" s="10"/>
      <c r="I31" s="14">
        <f t="shared" si="7"/>
        <v>0</v>
      </c>
      <c r="J31" s="10"/>
      <c r="K31" s="14">
        <f t="shared" si="8"/>
        <v>0</v>
      </c>
      <c r="L31" s="15">
        <f t="shared" si="9"/>
        <v>0</v>
      </c>
      <c r="M31" s="14">
        <f t="shared" si="6"/>
        <v>0</v>
      </c>
      <c r="N31" s="16" t="str">
        <f t="shared" si="10"/>
        <v>—</v>
      </c>
      <c r="O31" s="17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24" t="s">
        <v>135</v>
      </c>
      <c r="D33" s="1"/>
      <c r="E33" s="1"/>
      <c r="F33" s="25">
        <f>SUM(F5:F31)</f>
        <v>76915.86</v>
      </c>
      <c r="G33" s="1"/>
      <c r="H33" s="25">
        <f>SUM(H5:H31)</f>
        <v>27093.65</v>
      </c>
      <c r="I33" s="1"/>
      <c r="J33" s="25">
        <f>SUM(J5:J31)</f>
        <v>213.21</v>
      </c>
      <c r="K33" s="1"/>
      <c r="L33" s="25">
        <f>SUM(L5:L31)</f>
        <v>27306.86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O2"/>
  </mergeCells>
  <dataValidations>
    <dataValidation type="list" allowBlank="1" sqref="E5:E31">
      <formula1>"Sim,Não"</formula1>
    </dataValidation>
    <dataValidation type="list" allowBlank="1" sqref="D5:D31">
      <formula1>"Contratado,Estimado"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40.0"/>
    <col customWidth="1" min="3" max="8" width="13.0"/>
    <col customWidth="1" min="9" max="9" width="14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5.5" customHeight="1">
      <c r="A2" s="1"/>
      <c r="B2" s="2" t="s">
        <v>165</v>
      </c>
      <c r="C2" s="3"/>
      <c r="D2" s="3"/>
      <c r="E2" s="3"/>
      <c r="F2" s="3"/>
      <c r="G2" s="3"/>
      <c r="H2" s="3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4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75" customHeight="1">
      <c r="A4" s="1"/>
      <c r="B4" s="5" t="s">
        <v>167</v>
      </c>
      <c r="C4" s="5" t="s">
        <v>7</v>
      </c>
      <c r="D4" s="5" t="s">
        <v>10</v>
      </c>
      <c r="E4" s="5" t="s">
        <v>14</v>
      </c>
      <c r="F4" s="5" t="s">
        <v>15</v>
      </c>
      <c r="G4" s="5" t="s">
        <v>18</v>
      </c>
      <c r="H4" s="5" t="s">
        <v>20</v>
      </c>
      <c r="I4" s="5" t="s">
        <v>168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6" t="s">
        <v>169</v>
      </c>
      <c r="C5" s="7"/>
      <c r="D5" s="7"/>
      <c r="E5" s="7"/>
      <c r="F5" s="7"/>
      <c r="G5" s="7"/>
      <c r="H5" s="7"/>
      <c r="I5" s="7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9" t="s">
        <v>170</v>
      </c>
      <c r="C6" s="13">
        <f>SUMPRODUCT((Vendas!$B$5:$B$36="Produção Jr")*(Vendas!$F$5:$F$36&lt;&gt;"Cancelado")*(Vendas!$K$5:$K$36&gt;=DATE(2026,7,1))*(Vendas!$K$5:$K$36&lt;DATE(2026,8,1))*Vendas!$L$5:$L$36)+SUMPRODUCT((Vendas!$B$5:$B$36="Produção Jr")*(Vendas!$F$5:$F$36&lt;&gt;"Cancelado")*(Vendas!$M$5:$M$36&gt;=DATE(2026,7,1))*(Vendas!$M$5:$M$36&lt;DATE(2026,8,1))*Vendas!$N$5:$N$36)+SUMPRODUCT((Vendas!$B$5:$B$36="Produção Jr")*(Vendas!$F$5:$F$36&lt;&gt;"Cancelado")*(Vendas!$O$5:$O$36&gt;=DATE(2026,7,1))*(Vendas!$O$5:$O$36&lt;DATE(2026,8,1))*Vendas!$P$5:$P$36)</f>
        <v>47000</v>
      </c>
      <c r="D6" s="13">
        <f>SUMPRODUCT((Vendas!$B$5:$B$36="Produção Jr")*(Vendas!$F$5:$F$36&lt;&gt;"Cancelado")*(Vendas!$K$5:$K$36&gt;=DATE(2026,8,1))*(Vendas!$K$5:$K$36&lt;DATE(2026,9,1))*Vendas!$L$5:$L$36)+SUMPRODUCT((Vendas!$B$5:$B$36="Produção Jr")*(Vendas!$F$5:$F$36&lt;&gt;"Cancelado")*(Vendas!$M$5:$M$36&gt;=DATE(2026,8,1))*(Vendas!$M$5:$M$36&lt;DATE(2026,9,1))*Vendas!$N$5:$N$36)+SUMPRODUCT((Vendas!$B$5:$B$36="Produção Jr")*(Vendas!$F$5:$F$36&lt;&gt;"Cancelado")*(Vendas!$O$5:$O$36&gt;=DATE(2026,8,1))*(Vendas!$O$5:$O$36&lt;DATE(2026,9,1))*Vendas!$P$5:$P$36)</f>
        <v>49750</v>
      </c>
      <c r="E6" s="13">
        <f>SUMPRODUCT((Vendas!$B$5:$B$36="Produção Jr")*(Vendas!$F$5:$F$36&lt;&gt;"Cancelado")*(Vendas!$K$5:$K$36&gt;=DATE(2026,9,1))*(Vendas!$K$5:$K$36&lt;DATE(2026,10,1))*Vendas!$L$5:$L$36)+SUMPRODUCT((Vendas!$B$5:$B$36="Produção Jr")*(Vendas!$F$5:$F$36&lt;&gt;"Cancelado")*(Vendas!$M$5:$M$36&gt;=DATE(2026,9,1))*(Vendas!$M$5:$M$36&lt;DATE(2026,10,1))*Vendas!$N$5:$N$36)+SUMPRODUCT((Vendas!$B$5:$B$36="Produção Jr")*(Vendas!$F$5:$F$36&lt;&gt;"Cancelado")*(Vendas!$O$5:$O$36&gt;=DATE(2026,9,1))*(Vendas!$O$5:$O$36&lt;DATE(2026,10,1))*Vendas!$P$5:$P$36)</f>
        <v>24750</v>
      </c>
      <c r="F6" s="13">
        <f>SUMPRODUCT((Vendas!$B$5:$B$36="Produção Jr")*(Vendas!$F$5:$F$36&lt;&gt;"Cancelado")*(Vendas!$K$5:$K$36&gt;=DATE(2026,10,1))*(Vendas!$K$5:$K$36&lt;DATE(2026,11,1))*Vendas!$L$5:$L$36)+SUMPRODUCT((Vendas!$B$5:$B$36="Produção Jr")*(Vendas!$F$5:$F$36&lt;&gt;"Cancelado")*(Vendas!$M$5:$M$36&gt;=DATE(2026,10,1))*(Vendas!$M$5:$M$36&lt;DATE(2026,11,1))*Vendas!$N$5:$N$36)+SUMPRODUCT((Vendas!$B$5:$B$36="Produção Jr")*(Vendas!$F$5:$F$36&lt;&gt;"Cancelado")*(Vendas!$O$5:$O$36&gt;=DATE(2026,10,1))*(Vendas!$O$5:$O$36&lt;DATE(2026,11,1))*Vendas!$P$5:$P$36)</f>
        <v>0</v>
      </c>
      <c r="G6" s="13">
        <f>SUMPRODUCT((Vendas!$B$5:$B$36="Produção Jr")*(Vendas!$F$5:$F$36&lt;&gt;"Cancelado")*(Vendas!$K$5:$K$36&gt;=DATE(2026,11,1))*(Vendas!$K$5:$K$36&lt;DATE(2026,12,1))*Vendas!$L$5:$L$36)+SUMPRODUCT((Vendas!$B$5:$B$36="Produção Jr")*(Vendas!$F$5:$F$36&lt;&gt;"Cancelado")*(Vendas!$M$5:$M$36&gt;=DATE(2026,11,1))*(Vendas!$M$5:$M$36&lt;DATE(2026,12,1))*Vendas!$N$5:$N$36)+SUMPRODUCT((Vendas!$B$5:$B$36="Produção Jr")*(Vendas!$F$5:$F$36&lt;&gt;"Cancelado")*(Vendas!$O$5:$O$36&gt;=DATE(2026,11,1))*(Vendas!$O$5:$O$36&lt;DATE(2026,12,1))*Vendas!$P$5:$P$36)</f>
        <v>0</v>
      </c>
      <c r="H6" s="13">
        <f>SUMPRODUCT((Vendas!$B$5:$B$36="Produção Jr")*(Vendas!$F$5:$F$36&lt;&gt;"Cancelado")*(Vendas!$K$5:$K$36&gt;=DATE(2026,12,1))*(Vendas!$K$5:$K$36&lt;DATE(2027,1,1))*Vendas!$L$5:$L$36)+SUMPRODUCT((Vendas!$B$5:$B$36="Produção Jr")*(Vendas!$F$5:$F$36&lt;&gt;"Cancelado")*(Vendas!$M$5:$M$36&gt;=DATE(2026,12,1))*(Vendas!$M$5:$M$36&lt;DATE(2027,1,1))*Vendas!$N$5:$N$36)+SUMPRODUCT((Vendas!$B$5:$B$36="Produção Jr")*(Vendas!$F$5:$F$36&lt;&gt;"Cancelado")*(Vendas!$O$5:$O$36&gt;=DATE(2026,12,1))*(Vendas!$O$5:$O$36&lt;DATE(2027,1,1))*Vendas!$P$5:$P$36)</f>
        <v>0</v>
      </c>
      <c r="I6" s="12">
        <f t="shared" ref="I6:I7" si="1">SUM(C6:H6)</f>
        <v>121500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9" t="s">
        <v>173</v>
      </c>
      <c r="C7" s="13">
        <f>SUMPRODUCT((Vendas!$B$5:$B$36="EESC Jr")*(Vendas!$F$5:$F$36&lt;&gt;"Cancelado")*(Vendas!$K$5:$K$36&gt;=DATE(2026,7,1))*(Vendas!$K$5:$K$36&lt;DATE(2026,8,1))*Vendas!$L$5:$L$36)+SUMPRODUCT((Vendas!$B$5:$B$36="EESC Jr")*(Vendas!$F$5:$F$36&lt;&gt;"Cancelado")*(Vendas!$M$5:$M$36&gt;=DATE(2026,7,1))*(Vendas!$M$5:$M$36&lt;DATE(2026,8,1))*Vendas!$N$5:$N$36)+SUMPRODUCT((Vendas!$B$5:$B$36="EESC Jr")*(Vendas!$F$5:$F$36&lt;&gt;"Cancelado")*(Vendas!$O$5:$O$36&gt;=DATE(2026,7,1))*(Vendas!$O$5:$O$36&lt;DATE(2026,8,1))*Vendas!$P$5:$P$36)</f>
        <v>0</v>
      </c>
      <c r="D7" s="13">
        <f>SUMPRODUCT((Vendas!$B$5:$B$36="EESC Jr")*(Vendas!$F$5:$F$36&lt;&gt;"Cancelado")*(Vendas!$K$5:$K$36&gt;=DATE(2026,8,1))*(Vendas!$K$5:$K$36&lt;DATE(2026,9,1))*Vendas!$L$5:$L$36)+SUMPRODUCT((Vendas!$B$5:$B$36="EESC Jr")*(Vendas!$F$5:$F$36&lt;&gt;"Cancelado")*(Vendas!$M$5:$M$36&gt;=DATE(2026,8,1))*(Vendas!$M$5:$M$36&lt;DATE(2026,9,1))*Vendas!$N$5:$N$36)+SUMPRODUCT((Vendas!$B$5:$B$36="EESC Jr")*(Vendas!$F$5:$F$36&lt;&gt;"Cancelado")*(Vendas!$O$5:$O$36&gt;=DATE(2026,8,1))*(Vendas!$O$5:$O$36&lt;DATE(2026,9,1))*Vendas!$P$5:$P$36)</f>
        <v>11500</v>
      </c>
      <c r="E7" s="13">
        <f>SUMPRODUCT((Vendas!$B$5:$B$36="EESC Jr")*(Vendas!$F$5:$F$36&lt;&gt;"Cancelado")*(Vendas!$K$5:$K$36&gt;=DATE(2026,9,1))*(Vendas!$K$5:$K$36&lt;DATE(2026,10,1))*Vendas!$L$5:$L$36)+SUMPRODUCT((Vendas!$B$5:$B$36="EESC Jr")*(Vendas!$F$5:$F$36&lt;&gt;"Cancelado")*(Vendas!$M$5:$M$36&gt;=DATE(2026,9,1))*(Vendas!$M$5:$M$36&lt;DATE(2026,10,1))*Vendas!$N$5:$N$36)+SUMPRODUCT((Vendas!$B$5:$B$36="EESC Jr")*(Vendas!$F$5:$F$36&lt;&gt;"Cancelado")*(Vendas!$O$5:$O$36&gt;=DATE(2026,9,1))*(Vendas!$O$5:$O$36&lt;DATE(2026,10,1))*Vendas!$P$5:$P$36)</f>
        <v>30000</v>
      </c>
      <c r="F7" s="13">
        <f>SUMPRODUCT((Vendas!$B$5:$B$36="EESC Jr")*(Vendas!$F$5:$F$36&lt;&gt;"Cancelado")*(Vendas!$K$5:$K$36&gt;=DATE(2026,10,1))*(Vendas!$K$5:$K$36&lt;DATE(2026,11,1))*Vendas!$L$5:$L$36)+SUMPRODUCT((Vendas!$B$5:$B$36="EESC Jr")*(Vendas!$F$5:$F$36&lt;&gt;"Cancelado")*(Vendas!$M$5:$M$36&gt;=DATE(2026,10,1))*(Vendas!$M$5:$M$36&lt;DATE(2026,11,1))*Vendas!$N$5:$N$36)+SUMPRODUCT((Vendas!$B$5:$B$36="EESC Jr")*(Vendas!$F$5:$F$36&lt;&gt;"Cancelado")*(Vendas!$O$5:$O$36&gt;=DATE(2026,10,1))*(Vendas!$O$5:$O$36&lt;DATE(2026,11,1))*Vendas!$P$5:$P$36)</f>
        <v>7500</v>
      </c>
      <c r="G7" s="13">
        <f>SUMPRODUCT((Vendas!$B$5:$B$36="EESC Jr")*(Vendas!$F$5:$F$36&lt;&gt;"Cancelado")*(Vendas!$K$5:$K$36&gt;=DATE(2026,11,1))*(Vendas!$K$5:$K$36&lt;DATE(2026,12,1))*Vendas!$L$5:$L$36)+SUMPRODUCT((Vendas!$B$5:$B$36="EESC Jr")*(Vendas!$F$5:$F$36&lt;&gt;"Cancelado")*(Vendas!$M$5:$M$36&gt;=DATE(2026,11,1))*(Vendas!$M$5:$M$36&lt;DATE(2026,12,1))*Vendas!$N$5:$N$36)+SUMPRODUCT((Vendas!$B$5:$B$36="EESC Jr")*(Vendas!$F$5:$F$36&lt;&gt;"Cancelado")*(Vendas!$O$5:$O$36&gt;=DATE(2026,11,1))*(Vendas!$O$5:$O$36&lt;DATE(2026,12,1))*Vendas!$P$5:$P$36)</f>
        <v>0</v>
      </c>
      <c r="H7" s="13">
        <f>SUMPRODUCT((Vendas!$B$5:$B$36="EESC Jr")*(Vendas!$F$5:$F$36&lt;&gt;"Cancelado")*(Vendas!$K$5:$K$36&gt;=DATE(2026,12,1))*(Vendas!$K$5:$K$36&lt;DATE(2027,1,1))*Vendas!$L$5:$L$36)+SUMPRODUCT((Vendas!$B$5:$B$36="EESC Jr")*(Vendas!$F$5:$F$36&lt;&gt;"Cancelado")*(Vendas!$M$5:$M$36&gt;=DATE(2026,12,1))*(Vendas!$M$5:$M$36&lt;DATE(2027,1,1))*Vendas!$N$5:$N$36)+SUMPRODUCT((Vendas!$B$5:$B$36="EESC Jr")*(Vendas!$F$5:$F$36&lt;&gt;"Cancelado")*(Vendas!$O$5:$O$36&gt;=DATE(2026,12,1))*(Vendas!$O$5:$O$36&lt;DATE(2027,1,1))*Vendas!$P$5:$P$36)</f>
        <v>0</v>
      </c>
      <c r="I7" s="12">
        <f t="shared" si="1"/>
        <v>49000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24" t="s">
        <v>174</v>
      </c>
      <c r="C8" s="25">
        <f t="shared" ref="C8:I8" si="2">SUM(C6:C7)</f>
        <v>47000</v>
      </c>
      <c r="D8" s="25">
        <f t="shared" si="2"/>
        <v>61250</v>
      </c>
      <c r="E8" s="25">
        <f t="shared" si="2"/>
        <v>54750</v>
      </c>
      <c r="F8" s="25">
        <f t="shared" si="2"/>
        <v>7500</v>
      </c>
      <c r="G8" s="25">
        <f t="shared" si="2"/>
        <v>0</v>
      </c>
      <c r="H8" s="25">
        <f t="shared" si="2"/>
        <v>0</v>
      </c>
      <c r="I8" s="25">
        <f t="shared" si="2"/>
        <v>170500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6" t="s">
        <v>175</v>
      </c>
      <c r="C10" s="7"/>
      <c r="D10" s="7"/>
      <c r="E10" s="7"/>
      <c r="F10" s="7"/>
      <c r="G10" s="7"/>
      <c r="H10" s="7"/>
      <c r="I10" s="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9" t="s">
        <v>176</v>
      </c>
      <c r="C11" s="13">
        <f>'Gastos Previstos'!D22</f>
        <v>8419</v>
      </c>
      <c r="D11" s="13">
        <f>'Gastos Previstos'!E22</f>
        <v>8419</v>
      </c>
      <c r="E11" s="13">
        <f>'Gastos Previstos'!F22</f>
        <v>52382.24</v>
      </c>
      <c r="F11" s="13">
        <f>'Gastos Previstos'!G22</f>
        <v>0</v>
      </c>
      <c r="G11" s="13">
        <f>'Gastos Previstos'!H22</f>
        <v>0</v>
      </c>
      <c r="H11" s="13">
        <f>'Gastos Previstos'!I22</f>
        <v>0</v>
      </c>
      <c r="I11" s="12">
        <f t="shared" ref="I11:I13" si="3">SUM(C11:H11)</f>
        <v>69220.24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9" t="s">
        <v>177</v>
      </c>
      <c r="C12" s="13">
        <f>'Gastos Previstos'!D29</f>
        <v>0</v>
      </c>
      <c r="D12" s="13">
        <f>'Gastos Previstos'!E29</f>
        <v>0</v>
      </c>
      <c r="E12" s="13">
        <f>'Gastos Previstos'!F29</f>
        <v>79900</v>
      </c>
      <c r="F12" s="13">
        <f>'Gastos Previstos'!G29</f>
        <v>0</v>
      </c>
      <c r="G12" s="13">
        <f>'Gastos Previstos'!H29</f>
        <v>0</v>
      </c>
      <c r="H12" s="13">
        <f>'Gastos Previstos'!I29</f>
        <v>0</v>
      </c>
      <c r="I12" s="12">
        <f t="shared" si="3"/>
        <v>79900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9" t="s">
        <v>178</v>
      </c>
      <c r="C13" s="13">
        <f>'Gastos Previstos'!D48</f>
        <v>2520</v>
      </c>
      <c r="D13" s="13">
        <f>'Gastos Previstos'!E48</f>
        <v>6985.23</v>
      </c>
      <c r="E13" s="13">
        <f>'Gastos Previstos'!F48</f>
        <v>24531.42</v>
      </c>
      <c r="F13" s="13">
        <f>'Gastos Previstos'!G48</f>
        <v>480</v>
      </c>
      <c r="G13" s="13">
        <f>'Gastos Previstos'!H48</f>
        <v>0</v>
      </c>
      <c r="H13" s="13">
        <f>'Gastos Previstos'!I48</f>
        <v>0</v>
      </c>
      <c r="I13" s="12">
        <f t="shared" si="3"/>
        <v>34516.65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24" t="s">
        <v>179</v>
      </c>
      <c r="C14" s="25">
        <f t="shared" ref="C14:I14" si="4">SUM(C11:C13)</f>
        <v>10939</v>
      </c>
      <c r="D14" s="25">
        <f t="shared" si="4"/>
        <v>15404.23</v>
      </c>
      <c r="E14" s="25">
        <f t="shared" si="4"/>
        <v>156813.66</v>
      </c>
      <c r="F14" s="25">
        <f t="shared" si="4"/>
        <v>480</v>
      </c>
      <c r="G14" s="25">
        <f t="shared" si="4"/>
        <v>0</v>
      </c>
      <c r="H14" s="25">
        <f t="shared" si="4"/>
        <v>0</v>
      </c>
      <c r="I14" s="25">
        <f t="shared" si="4"/>
        <v>183636.89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24" t="s">
        <v>180</v>
      </c>
      <c r="C16" s="25">
        <f t="shared" ref="C16:I16" si="5">C8-C14</f>
        <v>36061</v>
      </c>
      <c r="D16" s="25">
        <f t="shared" si="5"/>
        <v>45845.77</v>
      </c>
      <c r="E16" s="25">
        <f t="shared" si="5"/>
        <v>-102063.66</v>
      </c>
      <c r="F16" s="25">
        <f t="shared" si="5"/>
        <v>7020</v>
      </c>
      <c r="G16" s="25">
        <f t="shared" si="5"/>
        <v>0</v>
      </c>
      <c r="H16" s="25">
        <f t="shared" si="5"/>
        <v>0</v>
      </c>
      <c r="I16" s="25">
        <f t="shared" si="5"/>
        <v>-13136.89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24" t="s">
        <v>181</v>
      </c>
      <c r="C17" s="25">
        <f>'Parâmetros'!$C$12+C16</f>
        <v>36061</v>
      </c>
      <c r="D17" s="25">
        <f t="shared" ref="D17:H17" si="6">C17+D16</f>
        <v>81906.77</v>
      </c>
      <c r="E17" s="25">
        <f t="shared" si="6"/>
        <v>-20156.89</v>
      </c>
      <c r="F17" s="25">
        <f t="shared" si="6"/>
        <v>-13136.89</v>
      </c>
      <c r="G17" s="25">
        <f t="shared" si="6"/>
        <v>-13136.89</v>
      </c>
      <c r="H17" s="25">
        <f t="shared" si="6"/>
        <v>-13136.89</v>
      </c>
      <c r="I17" s="24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45" t="s">
        <v>182</v>
      </c>
      <c r="C19" s="46">
        <f>MAX(0,-MIN(C17:H17))</f>
        <v>20156.89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45" t="s">
        <v>183</v>
      </c>
      <c r="C20" s="47" t="str">
        <f>IF(MIN(C17:H17)&lt;0,"SIM","Não")</f>
        <v>SIM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I2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63.29"/>
    <col customWidth="1" min="3" max="3" width="33.71"/>
    <col customWidth="1" min="4" max="6" width="12.29"/>
    <col customWidth="1" min="7" max="9" width="13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5.5" customHeight="1">
      <c r="A2" s="1"/>
      <c r="B2" s="2" t="s">
        <v>184</v>
      </c>
      <c r="C2" s="3"/>
      <c r="D2" s="3"/>
      <c r="E2" s="3"/>
      <c r="F2" s="3"/>
      <c r="G2" s="3"/>
      <c r="H2" s="3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4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39" t="s">
        <v>185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9" t="s">
        <v>186</v>
      </c>
      <c r="C6" s="13">
        <f>SUMIFS(Vendas!$E$5:$E$36,Vendas!$F$5:$F$36,"Fechado")</f>
        <v>212000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9" t="s">
        <v>187</v>
      </c>
      <c r="C7" s="13">
        <f>'Gastos Previstos'!$C$22+'Gastos Previstos'!$C$48</f>
        <v>104696.89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9" t="s">
        <v>188</v>
      </c>
      <c r="C8" s="13">
        <f>SUMIFS(Vendas!$J$5:$J$36,Vendas!$F$5:$F$36,"Fechado")</f>
        <v>132100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9" t="s">
        <v>189</v>
      </c>
      <c r="C9" s="46">
        <f>C8-C7</f>
        <v>27403.11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9" t="s">
        <v>8</v>
      </c>
      <c r="C10" s="47" t="str">
        <f>IF(C9&gt;=0,"NO AZUL — já cobre os gastos fixos","NO VERMELHO — falta gerar margem")</f>
        <v>NO AZUL — já cobre os gastos fixos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39" t="s">
        <v>190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75" customHeight="1">
      <c r="A13" s="1"/>
      <c r="B13" s="5" t="s">
        <v>12</v>
      </c>
      <c r="C13" s="5" t="s">
        <v>17</v>
      </c>
      <c r="D13" s="5" t="s">
        <v>191</v>
      </c>
      <c r="E13" s="5" t="s">
        <v>192</v>
      </c>
      <c r="F13" s="5" t="s">
        <v>193</v>
      </c>
      <c r="G13" s="5" t="s">
        <v>194</v>
      </c>
      <c r="H13" s="5" t="s">
        <v>195</v>
      </c>
      <c r="I13" s="5" t="s">
        <v>196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48" t="s">
        <v>151</v>
      </c>
      <c r="C14" s="10">
        <f>'Parâmetros'!C23</f>
        <v>4000</v>
      </c>
      <c r="D14" s="11">
        <f>'Parâmetros'!E23</f>
        <v>27</v>
      </c>
      <c r="E14" s="11">
        <f>SUMPRODUCT((Vendas!$D$5:$D$36="Executivo")*(Vendas!$F$5:$F$36="Fechado"))</f>
        <v>4</v>
      </c>
      <c r="F14" s="41">
        <f t="shared" ref="F14:F18" si="1">D14-E14</f>
        <v>23</v>
      </c>
      <c r="G14" s="20"/>
      <c r="H14" s="20"/>
      <c r="I14" s="20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45" t="s">
        <v>98</v>
      </c>
      <c r="C15" s="13">
        <f>'Parâmetros'!C24</f>
        <v>7500</v>
      </c>
      <c r="D15" s="20">
        <f>'Parâmetros'!E24</f>
        <v>10</v>
      </c>
      <c r="E15" s="20">
        <f>SUMPRODUCT((Vendas!$D$5:$D$36="Bronze")*(Vendas!$F$5:$F$36="Fechado"))</f>
        <v>13</v>
      </c>
      <c r="F15" s="43">
        <f t="shared" si="1"/>
        <v>-3</v>
      </c>
      <c r="G15" s="20"/>
      <c r="H15" s="20"/>
      <c r="I15" s="20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48" t="s">
        <v>89</v>
      </c>
      <c r="C16" s="10">
        <f>'Parâmetros'!C25</f>
        <v>11500</v>
      </c>
      <c r="D16" s="11">
        <f>'Parâmetros'!E25</f>
        <v>4</v>
      </c>
      <c r="E16" s="11">
        <f>SUMPRODUCT((Vendas!$D$5:$D$36="Prata")*(Vendas!$F$5:$F$36="Fechado"))</f>
        <v>6</v>
      </c>
      <c r="F16" s="41">
        <f t="shared" si="1"/>
        <v>-2</v>
      </c>
      <c r="G16" s="20"/>
      <c r="H16" s="20"/>
      <c r="I16" s="20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45" t="s">
        <v>47</v>
      </c>
      <c r="C17" s="13">
        <f>'Parâmetros'!C26</f>
        <v>15000</v>
      </c>
      <c r="D17" s="20">
        <f>'Parâmetros'!E26</f>
        <v>2</v>
      </c>
      <c r="E17" s="20">
        <f>SUMPRODUCT((Vendas!$D$5:$D$36="Ouro")*(Vendas!$F$5:$F$36="Fechado"))</f>
        <v>2</v>
      </c>
      <c r="F17" s="43">
        <f t="shared" si="1"/>
        <v>0</v>
      </c>
      <c r="G17" s="20"/>
      <c r="H17" s="20"/>
      <c r="I17" s="20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48" t="s">
        <v>160</v>
      </c>
      <c r="C18" s="10">
        <f>'Parâmetros'!C27</f>
        <v>3000</v>
      </c>
      <c r="D18" s="11">
        <f>'Parâmetros'!E27</f>
        <v>30</v>
      </c>
      <c r="E18" s="11">
        <f>SUMPRODUCT((Vendas!$D$5:$D$36="Patrocínio")*(Vendas!$F$5:$F$36="Fechado"))</f>
        <v>0</v>
      </c>
      <c r="F18" s="41">
        <f t="shared" si="1"/>
        <v>30</v>
      </c>
      <c r="G18" s="20"/>
      <c r="H18" s="20"/>
      <c r="I18" s="20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39" t="s">
        <v>204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75" customHeight="1">
      <c r="A21" s="1"/>
      <c r="B21" s="5" t="s">
        <v>206</v>
      </c>
      <c r="C21" s="5" t="s">
        <v>207</v>
      </c>
      <c r="D21" s="5" t="s">
        <v>194</v>
      </c>
      <c r="E21" s="5" t="s">
        <v>195</v>
      </c>
      <c r="F21" s="5" t="s">
        <v>196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9" t="s">
        <v>208</v>
      </c>
      <c r="C22" s="28">
        <v>0.0</v>
      </c>
      <c r="D22" s="28">
        <f>SUMPRODUCT(G14:G18,C14:C18)</f>
        <v>0</v>
      </c>
      <c r="E22" s="28">
        <f>SUMPRODUCT(H14:H18,C14:C18)</f>
        <v>0</v>
      </c>
      <c r="F22" s="28">
        <f>SUMPRODUCT(I14:I18,C14:C18)</f>
        <v>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9" t="s">
        <v>214</v>
      </c>
      <c r="C23" s="12">
        <f>$C$6</f>
        <v>212000</v>
      </c>
      <c r="D23" s="12">
        <f t="shared" ref="D23:F23" si="2">$C$6+D22</f>
        <v>212000</v>
      </c>
      <c r="E23" s="12">
        <f t="shared" si="2"/>
        <v>212000</v>
      </c>
      <c r="F23" s="12">
        <f t="shared" si="2"/>
        <v>212000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9" t="s">
        <v>218</v>
      </c>
      <c r="C24" s="28">
        <f t="shared" ref="C24:F24" si="3">$C$7</f>
        <v>104696.89</v>
      </c>
      <c r="D24" s="28">
        <f t="shared" si="3"/>
        <v>104696.89</v>
      </c>
      <c r="E24" s="28">
        <f t="shared" si="3"/>
        <v>104696.89</v>
      </c>
      <c r="F24" s="28">
        <f t="shared" si="3"/>
        <v>104696.89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9" t="s">
        <v>220</v>
      </c>
      <c r="C25" s="28">
        <f>SUMPRODUCT(E14:E18,'Parâmetros'!$F$23:$F$27)</f>
        <v>79900</v>
      </c>
      <c r="D25" s="28">
        <f>SUMPRODUCT(E14:E18,'Parâmetros'!$F$23:$F$27)+SUMPRODUCT(G14:G18,'Parâmetros'!$F$23:$F$27)</f>
        <v>79900</v>
      </c>
      <c r="E25" s="28">
        <f>SUMPRODUCT(E14:E18,'Parâmetros'!$F$23:$F$27)+SUMPRODUCT(H14:H18,'Parâmetros'!$F$23:$F$27)</f>
        <v>79900</v>
      </c>
      <c r="F25" s="28">
        <f>SUMPRODUCT(E14:E18,'Parâmetros'!$F$23:$F$27)+SUMPRODUCT(I14:I18,'Parâmetros'!$F$23:$F$27)</f>
        <v>79900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9" t="s">
        <v>225</v>
      </c>
      <c r="C26" s="28">
        <f t="shared" ref="C26:F26" si="4">C24+C25</f>
        <v>184596.89</v>
      </c>
      <c r="D26" s="28">
        <f t="shared" si="4"/>
        <v>184596.89</v>
      </c>
      <c r="E26" s="28">
        <f t="shared" si="4"/>
        <v>184596.89</v>
      </c>
      <c r="F26" s="28">
        <f t="shared" si="4"/>
        <v>184596.89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24" t="s">
        <v>226</v>
      </c>
      <c r="C27" s="25">
        <f t="shared" ref="C27:F27" si="5">C23-C26</f>
        <v>27403.11</v>
      </c>
      <c r="D27" s="25">
        <f t="shared" si="5"/>
        <v>27403.11</v>
      </c>
      <c r="E27" s="25">
        <f t="shared" si="5"/>
        <v>27403.11</v>
      </c>
      <c r="F27" s="25">
        <f t="shared" si="5"/>
        <v>27403.11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45" t="s">
        <v>227</v>
      </c>
      <c r="C28" s="51" t="str">
        <f t="shared" ref="C28:F28" si="6">IF(C27&gt;=0,"SIM","NÃO")</f>
        <v>SIM</v>
      </c>
      <c r="D28" s="51" t="str">
        <f t="shared" si="6"/>
        <v>SIM</v>
      </c>
      <c r="E28" s="51" t="str">
        <f t="shared" si="6"/>
        <v>SIM</v>
      </c>
      <c r="F28" s="51" t="str">
        <f t="shared" si="6"/>
        <v>SIM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39" t="s">
        <v>229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9" t="s">
        <v>230</v>
      </c>
      <c r="C31" s="46">
        <f>MAX(0,C7-C8)</f>
        <v>0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53" t="s">
        <v>231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5" t="s">
        <v>12</v>
      </c>
      <c r="C33" s="5" t="s">
        <v>17</v>
      </c>
      <c r="D33" s="5" t="s">
        <v>232</v>
      </c>
      <c r="E33" s="5" t="s">
        <v>233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48" t="s">
        <v>151</v>
      </c>
      <c r="C34" s="10">
        <f t="shared" ref="C34:C38" si="7">C14</f>
        <v>4000</v>
      </c>
      <c r="D34" s="10">
        <f>VLOOKUP(B34,'Parâmetros'!$B$23:$G$27,6,0)</f>
        <v>2500</v>
      </c>
      <c r="E34" s="16" t="str">
        <f t="shared" ref="E34:E38" si="8">IF($C$31&lt;=0,"— já cobre",ROUNDUP($C$31/D34,0))</f>
        <v>— já cobre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45" t="s">
        <v>98</v>
      </c>
      <c r="C35" s="13">
        <f t="shared" si="7"/>
        <v>7500</v>
      </c>
      <c r="D35" s="13">
        <f>VLOOKUP(B35,'Parâmetros'!$B$23:$G$27,6,0)</f>
        <v>4550</v>
      </c>
      <c r="E35" s="22" t="str">
        <f t="shared" si="8"/>
        <v>— já cobre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48" t="s">
        <v>89</v>
      </c>
      <c r="C36" s="10">
        <f t="shared" si="7"/>
        <v>11500</v>
      </c>
      <c r="D36" s="10">
        <f>VLOOKUP(B36,'Parâmetros'!$B$23:$G$27,6,0)</f>
        <v>7550</v>
      </c>
      <c r="E36" s="16" t="str">
        <f t="shared" si="8"/>
        <v>— já cobre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45" t="s">
        <v>47</v>
      </c>
      <c r="C37" s="13">
        <f t="shared" si="7"/>
        <v>15000</v>
      </c>
      <c r="D37" s="13">
        <f>VLOOKUP(B37,'Parâmetros'!$B$23:$G$27,6,0)</f>
        <v>9075</v>
      </c>
      <c r="E37" s="22" t="str">
        <f t="shared" si="8"/>
        <v>— já cobre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48" t="s">
        <v>160</v>
      </c>
      <c r="C38" s="10">
        <f t="shared" si="7"/>
        <v>3000</v>
      </c>
      <c r="D38" s="10">
        <f>VLOOKUP(B38,'Parâmetros'!$B$23:$G$27,6,0)</f>
        <v>3000</v>
      </c>
      <c r="E38" s="16" t="str">
        <f t="shared" si="8"/>
        <v>— já cobre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4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I2"/>
  </mergeCells>
  <dataValidations>
    <dataValidation type="decimal" operator="lessThanOrEqual" allowBlank="1" showInputMessage="1" showErrorMessage="1" prompt="Acima das cotas - Não pode fechar mais que os estandes disponíveis." sqref="G16:I16">
      <formula1>$F$16</formula1>
    </dataValidation>
    <dataValidation type="decimal" operator="lessThanOrEqual" allowBlank="1" showInputMessage="1" showErrorMessage="1" prompt="Acima das cotas - Não pode fechar mais que os estandes disponíveis." sqref="G17:I17">
      <formula1>$F$17</formula1>
    </dataValidation>
    <dataValidation type="decimal" operator="lessThanOrEqual" allowBlank="1" showInputMessage="1" showErrorMessage="1" prompt="Acima das cotas - Não pode fechar mais que os estandes disponíveis." sqref="G18:I18">
      <formula1>$F$18</formula1>
    </dataValidation>
    <dataValidation type="decimal" operator="lessThanOrEqual" allowBlank="1" showInputMessage="1" showErrorMessage="1" prompt="Acima das cotas - Não pode fechar mais que os estandes disponíveis." sqref="G14:I14">
      <formula1>$F$14</formula1>
    </dataValidation>
    <dataValidation type="decimal" operator="lessThanOrEqual" allowBlank="1" showInputMessage="1" showErrorMessage="1" prompt="Acima das cotas - Não pode fechar mais que os estandes disponíveis." sqref="G15:I15">
      <formula1>$F$15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44.14"/>
    <col customWidth="1" min="3" max="4" width="14.0"/>
    <col customWidth="1" min="5" max="5" width="10.0"/>
    <col customWidth="1" min="6" max="7" width="14.0"/>
    <col customWidth="1" min="8" max="8" width="15.0"/>
    <col customWidth="1" min="9" max="9" width="14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5.5" customHeight="1">
      <c r="A2" s="1"/>
      <c r="B2" s="2" t="s">
        <v>197</v>
      </c>
      <c r="C2" s="3"/>
      <c r="D2" s="3"/>
      <c r="E2" s="3"/>
      <c r="F2" s="3"/>
      <c r="G2" s="3"/>
      <c r="H2" s="3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4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39" t="s">
        <v>198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9" t="s">
        <v>199</v>
      </c>
      <c r="C6" s="19">
        <v>46223.0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9" t="s">
        <v>200</v>
      </c>
      <c r="C7" s="19">
        <v>46266.0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9" t="s">
        <v>201</v>
      </c>
      <c r="C8" s="19">
        <v>46267.0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39" t="s">
        <v>202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9" t="s">
        <v>203</v>
      </c>
      <c r="C11" s="49">
        <v>0.2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9" t="s">
        <v>205</v>
      </c>
      <c r="C12" s="13">
        <v>0.0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9" t="s">
        <v>209</v>
      </c>
      <c r="C13" s="49">
        <v>0.5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9" t="s">
        <v>210</v>
      </c>
      <c r="C14" s="50" t="s">
        <v>211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9" t="s">
        <v>212</v>
      </c>
      <c r="C15" s="50" t="s">
        <v>213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39" t="s">
        <v>215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9" t="s">
        <v>216</v>
      </c>
      <c r="C18" s="18" t="s">
        <v>45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9" t="s">
        <v>217</v>
      </c>
      <c r="C19" s="18" t="s">
        <v>109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39" t="s">
        <v>219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75" customHeight="1">
      <c r="A22" s="1"/>
      <c r="B22" s="5" t="s">
        <v>12</v>
      </c>
      <c r="C22" s="5" t="s">
        <v>17</v>
      </c>
      <c r="D22" s="5" t="s">
        <v>221</v>
      </c>
      <c r="E22" s="5" t="s">
        <v>222</v>
      </c>
      <c r="F22" s="5" t="s">
        <v>26</v>
      </c>
      <c r="G22" s="5" t="s">
        <v>223</v>
      </c>
      <c r="H22" s="5" t="s">
        <v>224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48" t="s">
        <v>151</v>
      </c>
      <c r="C23" s="13">
        <v>4000.0</v>
      </c>
      <c r="D23" s="13">
        <v>3500.0</v>
      </c>
      <c r="E23" s="20">
        <v>27.0</v>
      </c>
      <c r="F23" s="13">
        <v>1500.0</v>
      </c>
      <c r="G23" s="26">
        <f t="shared" ref="G23:G27" si="1">C23-F23</f>
        <v>2500</v>
      </c>
      <c r="H23" s="26">
        <f t="shared" ref="H23:H27" si="2">C23*E23</f>
        <v>108000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45" t="s">
        <v>98</v>
      </c>
      <c r="C24" s="13">
        <v>7500.0</v>
      </c>
      <c r="D24" s="13">
        <v>6500.0</v>
      </c>
      <c r="E24" s="20">
        <v>10.0</v>
      </c>
      <c r="F24" s="13">
        <v>2950.0</v>
      </c>
      <c r="G24" s="28">
        <f t="shared" si="1"/>
        <v>4550</v>
      </c>
      <c r="H24" s="28">
        <f t="shared" si="2"/>
        <v>75000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48" t="s">
        <v>89</v>
      </c>
      <c r="C25" s="13">
        <v>11500.0</v>
      </c>
      <c r="D25" s="13">
        <v>10000.0</v>
      </c>
      <c r="E25" s="20">
        <v>4.0</v>
      </c>
      <c r="F25" s="13">
        <v>3950.0</v>
      </c>
      <c r="G25" s="26">
        <f t="shared" si="1"/>
        <v>7550</v>
      </c>
      <c r="H25" s="26">
        <f t="shared" si="2"/>
        <v>46000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45" t="s">
        <v>47</v>
      </c>
      <c r="C26" s="13">
        <v>15000.0</v>
      </c>
      <c r="D26" s="13">
        <v>15000.0</v>
      </c>
      <c r="E26" s="20">
        <v>2.0</v>
      </c>
      <c r="F26" s="13">
        <v>5925.0</v>
      </c>
      <c r="G26" s="28">
        <f t="shared" si="1"/>
        <v>9075</v>
      </c>
      <c r="H26" s="28">
        <f t="shared" si="2"/>
        <v>30000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48" t="s">
        <v>160</v>
      </c>
      <c r="C27" s="13">
        <v>3000.0</v>
      </c>
      <c r="D27" s="13">
        <v>3000.0</v>
      </c>
      <c r="E27" s="20">
        <v>30.0</v>
      </c>
      <c r="F27" s="13">
        <v>0.0</v>
      </c>
      <c r="G27" s="26">
        <f t="shared" si="1"/>
        <v>3000</v>
      </c>
      <c r="H27" s="26">
        <f t="shared" si="2"/>
        <v>90000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24" t="s">
        <v>228</v>
      </c>
      <c r="C28" s="24"/>
      <c r="D28" s="24"/>
      <c r="E28" s="52">
        <f>SUM(E23:E27)</f>
        <v>73</v>
      </c>
      <c r="F28" s="24"/>
      <c r="G28" s="24"/>
      <c r="H28" s="25">
        <f>SUM(H23:H27)</f>
        <v>349000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4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I2"/>
  </mergeCells>
  <printOptions/>
  <pageMargins bottom="1.0" footer="0.0" header="0.0" left="0.75" right="0.75" top="1.0"/>
  <pageSetup orientation="landscape"/>
  <drawing r:id="rId1"/>
</worksheet>
</file>